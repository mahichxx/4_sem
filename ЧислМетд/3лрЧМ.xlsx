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граммирование\4_сем\ЧислМетд\"/>
    </mc:Choice>
  </mc:AlternateContent>
  <xr:revisionPtr revIDLastSave="0" documentId="13_ncr:1_{4A575FF6-4CF6-4242-936D-AF6CF6ACCA7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B9" i="2"/>
  <c r="B8" i="2"/>
  <c r="B7" i="2"/>
  <c r="B6" i="2"/>
  <c r="A9" i="2"/>
  <c r="A8" i="2"/>
  <c r="A7" i="2"/>
  <c r="A6" i="2"/>
  <c r="B26" i="2"/>
  <c r="B25" i="2"/>
  <c r="B24" i="2"/>
  <c r="B23" i="2"/>
  <c r="B22" i="2"/>
  <c r="B21" i="2"/>
  <c r="B20" i="2"/>
  <c r="B19" i="2"/>
  <c r="A26" i="2"/>
  <c r="A25" i="2"/>
  <c r="A24" i="2"/>
  <c r="A23" i="2"/>
  <c r="A22" i="2"/>
  <c r="A21" i="2"/>
  <c r="A20" i="2"/>
  <c r="A19" i="2"/>
  <c r="B32" i="2" l="1"/>
  <c r="E32" i="2" s="1"/>
  <c r="C21" i="2"/>
  <c r="C22" i="2"/>
  <c r="C23" i="2"/>
  <c r="C24" i="2"/>
  <c r="C25" i="2"/>
  <c r="C26" i="2"/>
  <c r="C20" i="2"/>
  <c r="E12" i="2"/>
  <c r="A14" i="2"/>
  <c r="A13" i="2"/>
  <c r="A12" i="2"/>
  <c r="E13" i="2" s="1"/>
  <c r="C9" i="2"/>
  <c r="D9" i="2" s="1"/>
  <c r="C8" i="2"/>
  <c r="D8" i="2" s="1"/>
  <c r="C7" i="2"/>
  <c r="D7" i="2" s="1"/>
  <c r="C6" i="2"/>
  <c r="D6" i="2" s="1"/>
  <c r="H85" i="1"/>
  <c r="I85" i="1" s="1"/>
  <c r="D26" i="2" l="1"/>
  <c r="D25" i="2"/>
  <c r="D24" i="2"/>
  <c r="D23" i="2"/>
  <c r="D22" i="2"/>
  <c r="D21" i="2"/>
  <c r="B13" i="2"/>
  <c r="B12" i="2"/>
  <c r="E14" i="2" s="1"/>
  <c r="D10" i="2"/>
  <c r="C10" i="2"/>
  <c r="J85" i="1"/>
  <c r="K85" i="1" s="1"/>
  <c r="J68" i="1"/>
  <c r="J65" i="1"/>
  <c r="I68" i="1"/>
  <c r="G68" i="1"/>
  <c r="H67" i="1"/>
  <c r="G66" i="1"/>
  <c r="A68" i="1"/>
  <c r="B67" i="1"/>
  <c r="A66" i="1"/>
  <c r="D65" i="1"/>
  <c r="E24" i="2" l="1"/>
  <c r="E25" i="2"/>
  <c r="E23" i="2"/>
  <c r="E26" i="2"/>
  <c r="E33" i="2" s="1"/>
  <c r="E22" i="2"/>
  <c r="E30" i="2" s="1"/>
  <c r="C12" i="2"/>
  <c r="E15" i="2" s="1"/>
  <c r="E16" i="2" s="1"/>
  <c r="H86" i="1"/>
  <c r="L85" i="1"/>
  <c r="A62" i="1"/>
  <c r="B56" i="1"/>
  <c r="D56" i="1"/>
  <c r="A60" i="1"/>
  <c r="D59" i="1"/>
  <c r="I65" i="1" s="1"/>
  <c r="D55" i="1"/>
  <c r="J55" i="1" s="1"/>
  <c r="D61" i="1" s="1"/>
  <c r="D67" i="1" s="1"/>
  <c r="I67" i="1" s="1"/>
  <c r="E55" i="1"/>
  <c r="K55" i="1" s="1"/>
  <c r="E61" i="1" s="1"/>
  <c r="E67" i="1" s="1"/>
  <c r="K67" i="1" s="1"/>
  <c r="C55" i="1"/>
  <c r="I55" i="1" s="1"/>
  <c r="C61" i="1" s="1"/>
  <c r="C67" i="1" s="1"/>
  <c r="J67" i="1" s="1"/>
  <c r="B55" i="1"/>
  <c r="B60" i="1" s="1"/>
  <c r="A42" i="1"/>
  <c r="G45" i="1" s="1"/>
  <c r="K37" i="1"/>
  <c r="K42" i="1" s="1"/>
  <c r="J37" i="1"/>
  <c r="J42" i="1" s="1"/>
  <c r="I37" i="1"/>
  <c r="I42" i="1" s="1"/>
  <c r="H37" i="1"/>
  <c r="H42" i="1" s="1"/>
  <c r="A37" i="1"/>
  <c r="G39" i="1" s="1"/>
  <c r="A32" i="1"/>
  <c r="G33" i="1" s="1"/>
  <c r="E27" i="1"/>
  <c r="E37" i="1" s="1"/>
  <c r="K39" i="1" s="1"/>
  <c r="D27" i="1"/>
  <c r="D32" i="1" s="1"/>
  <c r="J33" i="1" s="1"/>
  <c r="C27" i="1"/>
  <c r="C42" i="1" s="1"/>
  <c r="I45" i="1" s="1"/>
  <c r="B27" i="1"/>
  <c r="B32" i="1" s="1"/>
  <c r="H1" i="1"/>
  <c r="C32" i="1" l="1"/>
  <c r="I33" i="1" s="1"/>
  <c r="I86" i="1"/>
  <c r="J86" i="1" s="1"/>
  <c r="E60" i="1"/>
  <c r="E66" i="1" s="1"/>
  <c r="K66" i="1" s="1"/>
  <c r="E32" i="1"/>
  <c r="K33" i="1" s="1"/>
  <c r="B37" i="1"/>
  <c r="H39" i="1" s="1"/>
  <c r="D37" i="1"/>
  <c r="J39" i="1" s="1"/>
  <c r="E42" i="1"/>
  <c r="K45" i="1" s="1"/>
  <c r="H55" i="1"/>
  <c r="B61" i="1" s="1"/>
  <c r="C37" i="1"/>
  <c r="I39" i="1" s="1"/>
  <c r="D42" i="1"/>
  <c r="J45" i="1" s="1"/>
  <c r="C60" i="1"/>
  <c r="C66" i="1" s="1"/>
  <c r="J66" i="1" s="1"/>
  <c r="D60" i="1"/>
  <c r="D66" i="1" s="1"/>
  <c r="I66" i="1" s="1"/>
  <c r="H33" i="1"/>
  <c r="B42" i="1"/>
  <c r="H45" i="1" s="1"/>
  <c r="N49" i="1"/>
  <c r="J49" i="1"/>
  <c r="D49" i="1"/>
  <c r="K49" i="1"/>
  <c r="E54" i="1"/>
  <c r="E49" i="1"/>
  <c r="D5" i="1"/>
  <c r="C5" i="1"/>
  <c r="B5" i="1"/>
  <c r="A5" i="1"/>
  <c r="K86" i="1" l="1"/>
  <c r="H87" i="1" s="1"/>
  <c r="I87" i="1" s="1"/>
  <c r="E5" i="1"/>
  <c r="K54" i="1"/>
  <c r="E59" i="1" s="1"/>
  <c r="E65" i="1" s="1"/>
  <c r="K65" i="1" s="1"/>
  <c r="Q49" i="1"/>
  <c r="H54" i="1"/>
  <c r="B59" i="1" s="1"/>
  <c r="B65" i="1" s="1"/>
  <c r="H65" i="1" s="1"/>
  <c r="B54" i="1"/>
  <c r="A6" i="1" a="1"/>
  <c r="A6" i="1" s="1"/>
  <c r="J87" i="1" l="1"/>
  <c r="K87" i="1" s="1"/>
  <c r="H88" i="1" s="1"/>
  <c r="I88" i="1" s="1"/>
  <c r="L86" i="1"/>
  <c r="D8" i="1"/>
  <c r="C8" i="1"/>
  <c r="B8" i="1"/>
  <c r="A8" i="1"/>
  <c r="D7" i="1"/>
  <c r="C7" i="1"/>
  <c r="B7" i="1"/>
  <c r="A7" i="1"/>
  <c r="D9" i="1"/>
  <c r="D6" i="1"/>
  <c r="C9" i="1"/>
  <c r="C6" i="1"/>
  <c r="B9" i="1"/>
  <c r="B6" i="1"/>
  <c r="A9" i="1"/>
  <c r="A10" i="1" l="1"/>
  <c r="B10" i="1"/>
  <c r="J88" i="1"/>
  <c r="K88" i="1" s="1"/>
  <c r="L87" i="1"/>
  <c r="D10" i="1"/>
  <c r="C10" i="1"/>
  <c r="H89" i="1" l="1"/>
  <c r="E10" i="1"/>
  <c r="H2" i="1" s="1"/>
  <c r="L88" i="1"/>
  <c r="I89" i="1" l="1"/>
  <c r="J89" i="1" s="1"/>
  <c r="K89" i="1" l="1"/>
  <c r="L89" i="1" s="1"/>
</calcChain>
</file>

<file path=xl/sharedStrings.xml><?xml version="1.0" encoding="utf-8"?>
<sst xmlns="http://schemas.openxmlformats.org/spreadsheetml/2006/main" count="40" uniqueCount="36">
  <si>
    <t>определитель</t>
  </si>
  <si>
    <t>!=0 =&gt; реш сущ и ед</t>
  </si>
  <si>
    <t>равномерная норма матрицы</t>
  </si>
  <si>
    <t>число обусловлений</t>
  </si>
  <si>
    <t>метод гаусса</t>
  </si>
  <si>
    <t>13.5 максимальный эл матрицы</t>
  </si>
  <si>
    <t>меняем столбец 1 и 2 местами</t>
  </si>
  <si>
    <t>нормализуем 1 строку(делим все элементы на главный элемент)</t>
  </si>
  <si>
    <t>переставим строки 3 и 2</t>
  </si>
  <si>
    <t>переставим столбцы 4 и 2</t>
  </si>
  <si>
    <t>2шаг</t>
  </si>
  <si>
    <t>3шаг</t>
  </si>
  <si>
    <t>рассчет погрешности</t>
  </si>
  <si>
    <t>задание 7</t>
  </si>
  <si>
    <t>k</t>
  </si>
  <si>
    <t>x1</t>
  </si>
  <si>
    <t>x2</t>
  </si>
  <si>
    <t>x3</t>
  </si>
  <si>
    <t>x4</t>
  </si>
  <si>
    <t>усл остан</t>
  </si>
  <si>
    <t>х</t>
  </si>
  <si>
    <t>у</t>
  </si>
  <si>
    <t>метод лангранджа</t>
  </si>
  <si>
    <t>х=0,2</t>
  </si>
  <si>
    <t>веса</t>
  </si>
  <si>
    <t>метод ньютона</t>
  </si>
  <si>
    <t>Δ2у</t>
  </si>
  <si>
    <t>Δ4у</t>
  </si>
  <si>
    <t>Δ3у</t>
  </si>
  <si>
    <t>Δ</t>
  </si>
  <si>
    <t>х0</t>
  </si>
  <si>
    <t>h</t>
  </si>
  <si>
    <t>t</t>
  </si>
  <si>
    <t>хн</t>
  </si>
  <si>
    <t>х=1,04</t>
  </si>
  <si>
    <t>x=1,57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</si>
</sst>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" x14ac:knownFonts="1">
    <font>
      <sz val="11"/>
      <color theme="1"/>
      <name val="Calibri"/>
      <family val="2"/>
      <charset val="204"/>
      <scheme val="minor"/>
    </font>
    <font>
      <sz val="9"/>
      <name val="Segoe UI"/>
      <family val="2"/>
      <charset val="204"/>
    </font>
    <font>
      <sz val="11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 indent="1"/>
    </xf>
    <xf numFmtId="0" fontId="1" fillId="5" borderId="0" xfId="0" applyFont="1" applyFill="1" applyAlignment="1">
      <alignment horizontal="left" vertical="center" wrapText="1" indent="1"/>
    </xf>
    <xf numFmtId="0" fontId="0" fillId="5" borderId="0" xfId="0" applyFill="1"/>
    <xf numFmtId="0" fontId="0" fillId="6" borderId="0" xfId="0" applyFill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7" borderId="0" xfId="0" applyFill="1"/>
    <xf numFmtId="164" fontId="0" fillId="7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Лист2!$A$6:$A$9</c:f>
              <c:numCache>
                <c:formatCode>General</c:formatCode>
                <c:ptCount val="4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</c:numCache>
            </c:numRef>
          </c:xVal>
          <c:yVal>
            <c:numRef>
              <c:f>Лист2!$B$6:$B$9</c:f>
              <c:numCache>
                <c:formatCode>General</c:formatCode>
                <c:ptCount val="4"/>
                <c:pt idx="0">
                  <c:v>1.175</c:v>
                </c:pt>
                <c:pt idx="1">
                  <c:v>1.335</c:v>
                </c:pt>
                <c:pt idx="2">
                  <c:v>1.5089999999999999</c:v>
                </c:pt>
                <c:pt idx="3">
                  <c:v>1.698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C-486C-9B38-D591FB74B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850751"/>
        <c:axId val="1704853663"/>
      </c:scatterChart>
      <c:valAx>
        <c:axId val="170485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4853663"/>
        <c:crosses val="autoZero"/>
        <c:crossBetween val="midCat"/>
      </c:valAx>
      <c:valAx>
        <c:axId val="17048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485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2888</xdr:colOff>
      <xdr:row>3</xdr:row>
      <xdr:rowOff>182719</xdr:rowOff>
    </xdr:from>
    <xdr:to>
      <xdr:col>13</xdr:col>
      <xdr:colOff>313960</xdr:colOff>
      <xdr:row>18</xdr:row>
      <xdr:rowOff>182719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opLeftCell="A15" zoomScale="122" zoomScaleNormal="115" workbookViewId="0">
      <selection activeCell="I94" sqref="I94"/>
    </sheetView>
  </sheetViews>
  <sheetFormatPr defaultRowHeight="14.4" x14ac:dyDescent="0.3"/>
  <cols>
    <col min="1" max="1" width="10" bestFit="1" customWidth="1"/>
    <col min="2" max="2" width="11.5546875" bestFit="1" customWidth="1"/>
    <col min="3" max="3" width="12.109375" bestFit="1" customWidth="1"/>
    <col min="4" max="4" width="10" bestFit="1" customWidth="1"/>
    <col min="5" max="5" width="10.21875" bestFit="1" customWidth="1"/>
    <col min="7" max="8" width="9.109375" bestFit="1" customWidth="1"/>
    <col min="9" max="9" width="10.44140625" bestFit="1" customWidth="1"/>
    <col min="10" max="10" width="9.44140625" bestFit="1" customWidth="1"/>
    <col min="11" max="11" width="9.109375" bestFit="1" customWidth="1"/>
    <col min="12" max="12" width="11.44140625" bestFit="1" customWidth="1"/>
    <col min="13" max="17" width="9" bestFit="1" customWidth="1"/>
  </cols>
  <sheetData>
    <row r="1" spans="1:9" x14ac:dyDescent="0.3">
      <c r="A1" s="1">
        <v>1.2</v>
      </c>
      <c r="B1" s="1">
        <v>13.5</v>
      </c>
      <c r="C1" s="1">
        <v>1.5</v>
      </c>
      <c r="D1" s="1">
        <v>2.5</v>
      </c>
      <c r="E1" s="5">
        <v>53.75</v>
      </c>
      <c r="G1" t="s">
        <v>0</v>
      </c>
      <c r="H1">
        <f>MDETERM(A1:D4)</f>
        <v>-15656.622799999997</v>
      </c>
      <c r="I1" t="s">
        <v>1</v>
      </c>
    </row>
    <row r="2" spans="1:9" x14ac:dyDescent="0.3">
      <c r="A2" s="1">
        <v>10.119999999999999</v>
      </c>
      <c r="B2" s="1">
        <v>1.2</v>
      </c>
      <c r="C2" s="1">
        <v>2.1</v>
      </c>
      <c r="D2" s="1">
        <v>0.9</v>
      </c>
      <c r="E2" s="5">
        <v>38.049999999999997</v>
      </c>
      <c r="G2" t="s">
        <v>3</v>
      </c>
      <c r="H2">
        <f>E10 * E5</f>
        <v>2.8794692620428974</v>
      </c>
    </row>
    <row r="3" spans="1:9" x14ac:dyDescent="0.3">
      <c r="A3" s="1">
        <v>0.9</v>
      </c>
      <c r="B3" s="1">
        <v>2.5</v>
      </c>
      <c r="C3" s="1">
        <v>1.3</v>
      </c>
      <c r="D3" s="1">
        <v>-12.2</v>
      </c>
      <c r="E3" s="5">
        <v>-10.1</v>
      </c>
    </row>
    <row r="4" spans="1:9" x14ac:dyDescent="0.3">
      <c r="A4" s="1">
        <v>2.1</v>
      </c>
      <c r="B4" s="1">
        <v>1.5</v>
      </c>
      <c r="C4" s="1">
        <v>9.8000000000000007</v>
      </c>
      <c r="D4" s="1">
        <v>-1.5</v>
      </c>
      <c r="E4" s="5">
        <v>41.05</v>
      </c>
    </row>
    <row r="5" spans="1:9" x14ac:dyDescent="0.3">
      <c r="A5">
        <f>ABS(A1)+ABS(B1)+ABS(C1)+ABS(D1)</f>
        <v>18.7</v>
      </c>
      <c r="B5">
        <f>ABS(A2)+ABS(B2)+ABS(C2)+ABS(D2)</f>
        <v>14.319999999999999</v>
      </c>
      <c r="C5">
        <f>ABS(A3)+ABS(B3)+ABS(C3)+ABS(D3)</f>
        <v>16.899999999999999</v>
      </c>
      <c r="D5">
        <f>ABS(A4)+ABS(B4)+ABS(C4)+ABS(D4)</f>
        <v>14.9</v>
      </c>
      <c r="E5" s="4">
        <f>MAX(A5:D5)</f>
        <v>18.7</v>
      </c>
      <c r="F5" s="4" t="s">
        <v>2</v>
      </c>
      <c r="G5" s="4"/>
      <c r="H5" s="4"/>
    </row>
    <row r="6" spans="1:9" x14ac:dyDescent="0.3">
      <c r="A6" s="3">
        <f t="array" ref="A6:D9">MINVERSE(A1:D4)</f>
        <v>-8.3588907819890767E-3</v>
      </c>
      <c r="B6" s="3">
        <v>0.10361653472292888</v>
      </c>
      <c r="C6" s="3">
        <v>8.6445845779716951E-3</v>
      </c>
      <c r="D6" s="3">
        <v>-2.2070851703727582E-2</v>
      </c>
    </row>
    <row r="7" spans="1:9" x14ac:dyDescent="0.3">
      <c r="A7" s="3">
        <v>7.3114567210497014E-2</v>
      </c>
      <c r="B7" s="3">
        <v>-7.6614223598718877E-3</v>
      </c>
      <c r="C7" s="3">
        <v>1.5849906021878489E-2</v>
      </c>
      <c r="D7" s="3">
        <v>-1.165181037637312E-2</v>
      </c>
    </row>
    <row r="8" spans="1:9" x14ac:dyDescent="0.3">
      <c r="A8" s="3">
        <v>-7.3203526369684264E-3</v>
      </c>
      <c r="B8" s="3">
        <v>-2.0434483482606482E-2</v>
      </c>
      <c r="C8" s="3">
        <v>-1.6498768814945202E-2</v>
      </c>
      <c r="D8" s="3">
        <v>0.1097287085437097</v>
      </c>
    </row>
    <row r="9" spans="1:9" x14ac:dyDescent="0.3">
      <c r="A9" s="3">
        <v>1.3585816220851922E-2</v>
      </c>
      <c r="B9" s="3">
        <v>3.8964341658662186E-3</v>
      </c>
      <c r="C9" s="3">
        <v>-7.9839631826603127E-2</v>
      </c>
      <c r="D9" s="3">
        <v>7.6765597239782778E-3</v>
      </c>
    </row>
    <row r="10" spans="1:9" x14ac:dyDescent="0.3">
      <c r="A10">
        <f>ABS(A6)+ABS(B6)+ABS(C6)+ABS(D6)</f>
        <v>0.14269086178661725</v>
      </c>
      <c r="B10">
        <f>ABS(A7)+ABS(B7)+ABS(C7)+ABS(D7)</f>
        <v>0.10827770596862051</v>
      </c>
      <c r="C10">
        <f>ABS(A8)+ABS(B8)+ABS(C8)+ABS(D8)</f>
        <v>0.15398231347822983</v>
      </c>
      <c r="D10">
        <f>ABS(A9)+ABS(B9)+ABS(C9)+ABS(D9)</f>
        <v>0.10499844193729956</v>
      </c>
      <c r="E10">
        <f>MAX(A10:D10)</f>
        <v>0.15398231347822983</v>
      </c>
    </row>
    <row r="11" spans="1:9" x14ac:dyDescent="0.3">
      <c r="A11" s="1">
        <v>1.2</v>
      </c>
      <c r="B11" s="1">
        <v>13.5</v>
      </c>
      <c r="C11" s="1">
        <v>1.5</v>
      </c>
      <c r="D11" s="1">
        <v>2.5</v>
      </c>
      <c r="E11" s="5">
        <v>53.75</v>
      </c>
    </row>
    <row r="12" spans="1:9" x14ac:dyDescent="0.3">
      <c r="A12" s="1">
        <v>10.119999999999999</v>
      </c>
      <c r="B12" s="1">
        <v>1.2</v>
      </c>
      <c r="C12" s="1">
        <v>2.1</v>
      </c>
      <c r="D12" s="1">
        <v>0.9</v>
      </c>
      <c r="E12" s="5">
        <v>38.049999999999997</v>
      </c>
    </row>
    <row r="13" spans="1:9" x14ac:dyDescent="0.3">
      <c r="A13" s="1">
        <v>0.9</v>
      </c>
      <c r="B13" s="1">
        <v>2.5</v>
      </c>
      <c r="C13" s="1">
        <v>1.3</v>
      </c>
      <c r="D13" s="1">
        <v>-12.2</v>
      </c>
      <c r="E13" s="5">
        <v>-10.1</v>
      </c>
    </row>
    <row r="14" spans="1:9" x14ac:dyDescent="0.3">
      <c r="A14" s="1">
        <v>2.1</v>
      </c>
      <c r="B14" s="1">
        <v>1.5</v>
      </c>
      <c r="C14" s="1">
        <v>9.8000000000000007</v>
      </c>
      <c r="D14" s="1">
        <v>-1.5</v>
      </c>
      <c r="E14" s="5">
        <v>41.05</v>
      </c>
    </row>
    <row r="16" spans="1:9" x14ac:dyDescent="0.3">
      <c r="A16" t="s">
        <v>4</v>
      </c>
    </row>
    <row r="17" spans="1:11" x14ac:dyDescent="0.3">
      <c r="A17" s="1">
        <v>1.2</v>
      </c>
      <c r="B17" s="6">
        <v>13.5</v>
      </c>
      <c r="C17" s="1">
        <v>1.5</v>
      </c>
      <c r="D17" s="1">
        <v>2.5</v>
      </c>
      <c r="E17" s="5">
        <v>53.75</v>
      </c>
      <c r="F17" t="s">
        <v>5</v>
      </c>
    </row>
    <row r="18" spans="1:11" x14ac:dyDescent="0.3">
      <c r="A18" s="1">
        <v>10.119999999999999</v>
      </c>
      <c r="B18" s="1">
        <v>1.2</v>
      </c>
      <c r="C18" s="1">
        <v>2.1</v>
      </c>
      <c r="D18" s="1">
        <v>0.9</v>
      </c>
      <c r="E18" s="5">
        <v>38.049999999999997</v>
      </c>
      <c r="F18" t="s">
        <v>6</v>
      </c>
    </row>
    <row r="19" spans="1:11" x14ac:dyDescent="0.3">
      <c r="A19" s="1">
        <v>0.9</v>
      </c>
      <c r="B19" s="1">
        <v>2.5</v>
      </c>
      <c r="C19" s="1">
        <v>1.3</v>
      </c>
      <c r="D19" s="1">
        <v>-12.2</v>
      </c>
      <c r="E19" s="5">
        <v>-10.1</v>
      </c>
    </row>
    <row r="20" spans="1:11" x14ac:dyDescent="0.3">
      <c r="A20" s="1">
        <v>2.1</v>
      </c>
      <c r="B20" s="1">
        <v>1.5</v>
      </c>
      <c r="C20" s="1">
        <v>9.8000000000000007</v>
      </c>
      <c r="D20" s="1">
        <v>-1.5</v>
      </c>
      <c r="E20" s="5">
        <v>41.05</v>
      </c>
    </row>
    <row r="22" spans="1:11" x14ac:dyDescent="0.3">
      <c r="A22" s="6">
        <v>13.5</v>
      </c>
      <c r="B22" s="1">
        <v>1.2</v>
      </c>
      <c r="C22" s="1">
        <v>1.5</v>
      </c>
      <c r="D22" s="1">
        <v>2.5</v>
      </c>
      <c r="E22" s="5">
        <v>53.75</v>
      </c>
      <c r="F22" t="s">
        <v>7</v>
      </c>
    </row>
    <row r="23" spans="1:11" x14ac:dyDescent="0.3">
      <c r="A23" s="1">
        <v>1.2</v>
      </c>
      <c r="B23" s="1">
        <v>10.119999999999999</v>
      </c>
      <c r="C23" s="1">
        <v>2.1</v>
      </c>
      <c r="D23" s="1">
        <v>0.9</v>
      </c>
      <c r="E23" s="5">
        <v>38.049999999999997</v>
      </c>
    </row>
    <row r="24" spans="1:11" x14ac:dyDescent="0.3">
      <c r="A24" s="1">
        <v>2.5</v>
      </c>
      <c r="B24" s="1">
        <v>0.9</v>
      </c>
      <c r="C24" s="1">
        <v>1.3</v>
      </c>
      <c r="D24" s="1">
        <v>-12.2</v>
      </c>
      <c r="E24" s="5">
        <v>-10.1</v>
      </c>
    </row>
    <row r="25" spans="1:11" x14ac:dyDescent="0.3">
      <c r="A25" s="1">
        <v>1.5</v>
      </c>
      <c r="B25" s="1">
        <v>2.1</v>
      </c>
      <c r="C25" s="1">
        <v>9.8000000000000007</v>
      </c>
      <c r="D25" s="1">
        <v>-1.5</v>
      </c>
      <c r="E25" s="5">
        <v>41.05</v>
      </c>
    </row>
    <row r="27" spans="1:11" x14ac:dyDescent="0.3">
      <c r="A27" s="6">
        <v>1</v>
      </c>
      <c r="B27" s="1">
        <f>ROUND(B22/A22, 4-1-INT(LOG10(ABS(B22))))</f>
        <v>8.8999999999999996E-2</v>
      </c>
      <c r="C27" s="1">
        <f>ROUND(C22/A22, 4-1-INT(LOG10(ABS(C22))))</f>
        <v>0.111</v>
      </c>
      <c r="D27" s="1">
        <f>ROUND(D22/A22, 4-1-INT(LOG10(ABS(D22))))</f>
        <v>0.185</v>
      </c>
      <c r="E27" s="7">
        <f>ROUND(E22/A22, 4-1-INT(LOG10(ABS(E22))))</f>
        <v>3.98</v>
      </c>
    </row>
    <row r="28" spans="1:11" x14ac:dyDescent="0.3">
      <c r="A28" s="1">
        <v>1.2</v>
      </c>
      <c r="B28" s="1">
        <v>10.119999999999999</v>
      </c>
      <c r="C28" s="1">
        <v>2.1</v>
      </c>
      <c r="D28" s="1">
        <v>0.9</v>
      </c>
      <c r="E28" s="5">
        <v>38.049999999999997</v>
      </c>
    </row>
    <row r="29" spans="1:11" x14ac:dyDescent="0.3">
      <c r="A29" s="1">
        <v>2.5</v>
      </c>
      <c r="B29" s="1">
        <v>0.9</v>
      </c>
      <c r="C29" s="1">
        <v>1.3</v>
      </c>
      <c r="D29" s="1">
        <v>-12.2</v>
      </c>
      <c r="E29" s="5">
        <v>-10.1</v>
      </c>
    </row>
    <row r="30" spans="1:11" x14ac:dyDescent="0.3">
      <c r="A30" s="1">
        <v>1.5</v>
      </c>
      <c r="B30" s="1">
        <v>2.1</v>
      </c>
      <c r="C30" s="1">
        <v>9.8000000000000007</v>
      </c>
      <c r="D30" s="1">
        <v>-1.5</v>
      </c>
      <c r="E30" s="5">
        <v>41.05</v>
      </c>
    </row>
    <row r="32" spans="1:11" x14ac:dyDescent="0.3">
      <c r="A32" s="6">
        <f>A27*A33</f>
        <v>1.2</v>
      </c>
      <c r="B32" s="6">
        <f>ROUND(B27*A33, 4-1-INT(LOG10(ABS(B27))))</f>
        <v>0.10680000000000001</v>
      </c>
      <c r="C32" s="6">
        <f>ROUND(C27*A33, 4-1-INT(LOG10(ABS(C27))))</f>
        <v>0.13320000000000001</v>
      </c>
      <c r="D32" s="6">
        <f>ROUND(D27*A33, 4-1-INT(LOG10(ABS(D27))))</f>
        <v>0.222</v>
      </c>
      <c r="E32" s="6">
        <f>ROUND(E27*A33, 4-1-INT(LOG10(ABS(E27))))</f>
        <v>4.7759999999999998</v>
      </c>
      <c r="G32" s="2">
        <v>1.2</v>
      </c>
      <c r="H32" s="2">
        <v>0.10680000000000001</v>
      </c>
      <c r="I32" s="2">
        <v>0.13320000000000001</v>
      </c>
      <c r="J32" s="2">
        <v>0.222</v>
      </c>
      <c r="K32" s="8">
        <v>4.7759999999999998</v>
      </c>
    </row>
    <row r="33" spans="1:13" x14ac:dyDescent="0.3">
      <c r="A33" s="1">
        <v>1.2</v>
      </c>
      <c r="B33" s="1">
        <v>10.119999999999999</v>
      </c>
      <c r="C33" s="1">
        <v>2.1</v>
      </c>
      <c r="D33" s="1">
        <v>0.9</v>
      </c>
      <c r="E33" s="5">
        <v>38.049999999999997</v>
      </c>
      <c r="G33" s="2">
        <f>A33-A32</f>
        <v>0</v>
      </c>
      <c r="H33" s="2">
        <f>B33-B32</f>
        <v>10.013199999999999</v>
      </c>
      <c r="I33" s="2">
        <f>C33-C32</f>
        <v>1.9668000000000001</v>
      </c>
      <c r="J33" s="2">
        <f>D33-D32</f>
        <v>0.67800000000000005</v>
      </c>
      <c r="K33" s="8">
        <f>E33-E32</f>
        <v>33.274000000000001</v>
      </c>
    </row>
    <row r="34" spans="1:13" x14ac:dyDescent="0.3">
      <c r="A34" s="1">
        <v>2.5</v>
      </c>
      <c r="B34" s="1">
        <v>0.9</v>
      </c>
      <c r="C34" s="1">
        <v>1.3</v>
      </c>
      <c r="D34" s="1">
        <v>-12.2</v>
      </c>
      <c r="E34" s="5">
        <v>-10.1</v>
      </c>
      <c r="G34" s="1">
        <v>2.5</v>
      </c>
      <c r="H34" s="1">
        <v>0.9</v>
      </c>
      <c r="I34" s="1">
        <v>1.3</v>
      </c>
      <c r="J34" s="1">
        <v>-12.2</v>
      </c>
      <c r="K34" s="5">
        <v>-10.1</v>
      </c>
    </row>
    <row r="35" spans="1:13" x14ac:dyDescent="0.3">
      <c r="A35" s="1">
        <v>1.5</v>
      </c>
      <c r="B35" s="1">
        <v>2.1</v>
      </c>
      <c r="C35" s="1">
        <v>9.8000000000000007</v>
      </c>
      <c r="D35" s="1">
        <v>-1.5</v>
      </c>
      <c r="E35" s="5">
        <v>41.05</v>
      </c>
      <c r="G35" s="1">
        <v>1.5</v>
      </c>
      <c r="H35" s="1">
        <v>2.1</v>
      </c>
      <c r="I35" s="1">
        <v>9.8000000000000007</v>
      </c>
      <c r="J35" s="1">
        <v>-1.5</v>
      </c>
      <c r="K35" s="5">
        <v>41.05</v>
      </c>
    </row>
    <row r="37" spans="1:13" x14ac:dyDescent="0.3">
      <c r="A37" s="6">
        <f>A27*A34</f>
        <v>2.5</v>
      </c>
      <c r="B37" s="6">
        <f>ROUND(B27*A34, 4-1-INT(LOG10(ABS(B27))))</f>
        <v>0.2225</v>
      </c>
      <c r="C37" s="6">
        <f>ROUND(C27*A34, 4-1-INT(LOG10(ABS(C27))))</f>
        <v>0.27750000000000002</v>
      </c>
      <c r="D37" s="6">
        <f>ROUND(D27*A34, 4-1-INT(LOG10(ABS(D27))))</f>
        <v>0.46250000000000002</v>
      </c>
      <c r="E37" s="6">
        <f>ROUND(E27*A34, 4-1-INT(LOG10(ABS(E27))))</f>
        <v>9.9499999999999993</v>
      </c>
      <c r="G37" s="6">
        <v>1</v>
      </c>
      <c r="H37" s="1">
        <f>ROUND(H32/G32, 4-1-INT(LOG10(ABS(H32))))</f>
        <v>8.8999999999999996E-2</v>
      </c>
      <c r="I37" s="1">
        <f>ROUND(I32/G32, 4-1-INT(LOG10(ABS(I32))))</f>
        <v>0.111</v>
      </c>
      <c r="J37" s="1">
        <f>ROUND(J32/G32, 4-1-INT(LOG10(ABS(J32))))</f>
        <v>0.185</v>
      </c>
      <c r="K37" s="7">
        <f>ROUND(K32/G32, 4-1-INT(LOG10(ABS(K32))))</f>
        <v>3.98</v>
      </c>
    </row>
    <row r="38" spans="1:13" x14ac:dyDescent="0.3">
      <c r="A38" s="1">
        <v>0</v>
      </c>
      <c r="B38" s="1">
        <v>10.013199999999999</v>
      </c>
      <c r="C38" s="1">
        <v>1.9668000000000001</v>
      </c>
      <c r="D38" s="1">
        <v>0.67800000000000005</v>
      </c>
      <c r="E38" s="5">
        <v>33.274000000000001</v>
      </c>
      <c r="G38" s="1">
        <v>0</v>
      </c>
      <c r="H38" s="1">
        <v>10.013199999999999</v>
      </c>
      <c r="I38" s="1">
        <v>1.9668000000000001</v>
      </c>
      <c r="J38" s="1">
        <v>0.67800000000000005</v>
      </c>
      <c r="K38" s="5">
        <v>33.274000000000001</v>
      </c>
    </row>
    <row r="39" spans="1:13" x14ac:dyDescent="0.3">
      <c r="A39" s="1">
        <v>2.5</v>
      </c>
      <c r="B39" s="1">
        <v>0.9</v>
      </c>
      <c r="C39" s="1">
        <v>1.3</v>
      </c>
      <c r="D39" s="1">
        <v>-12.2</v>
      </c>
      <c r="E39" s="5">
        <v>-10.1</v>
      </c>
      <c r="G39" s="2">
        <f>A39-A37</f>
        <v>0</v>
      </c>
      <c r="H39" s="2">
        <f>B39-B37</f>
        <v>0.67749999999999999</v>
      </c>
      <c r="I39" s="2">
        <f>C39-C37</f>
        <v>1.0225</v>
      </c>
      <c r="J39" s="2">
        <f>D39-D37</f>
        <v>-12.6625</v>
      </c>
      <c r="K39" s="8">
        <f>E39-E37</f>
        <v>-20.049999999999997</v>
      </c>
    </row>
    <row r="40" spans="1:13" x14ac:dyDescent="0.3">
      <c r="A40" s="1">
        <v>1.5</v>
      </c>
      <c r="B40" s="1">
        <v>2.1</v>
      </c>
      <c r="C40" s="1">
        <v>9.8000000000000007</v>
      </c>
      <c r="D40" s="1">
        <v>-1.5</v>
      </c>
      <c r="E40" s="5">
        <v>41.05</v>
      </c>
      <c r="G40" s="1">
        <v>1.5</v>
      </c>
      <c r="H40" s="1">
        <v>2.1</v>
      </c>
      <c r="I40" s="1">
        <v>9.8000000000000007</v>
      </c>
      <c r="J40" s="1">
        <v>-1.5</v>
      </c>
      <c r="K40" s="5">
        <v>41.05</v>
      </c>
    </row>
    <row r="42" spans="1:13" x14ac:dyDescent="0.3">
      <c r="A42" s="6">
        <f>A27*A40</f>
        <v>1.5</v>
      </c>
      <c r="B42" s="6">
        <f>ROUND(B27*A40, 4-1-INT(LOG10(ABS(B32))))</f>
        <v>0.13350000000000001</v>
      </c>
      <c r="C42" s="6">
        <f>ROUND(C27*A40, 4-1-INT(LOG10(ABS(C27))))</f>
        <v>0.16650000000000001</v>
      </c>
      <c r="D42" s="6">
        <f>ROUND(D27*A40, 4-1-INT(LOG10(ABS(D27))))</f>
        <v>0.27750000000000002</v>
      </c>
      <c r="E42" s="6">
        <f>ROUND(E27*A40, 4-1-INT(LOG10(ABS(E27))))</f>
        <v>5.97</v>
      </c>
      <c r="G42" s="6">
        <v>1</v>
      </c>
      <c r="H42" s="1">
        <f>ROUND(H37/G37, 4-1-INT(LOG10(ABS(H37))))</f>
        <v>8.8999999999999996E-2</v>
      </c>
      <c r="I42" s="1">
        <f>ROUND(I37/G37, 4-1-INT(LOG10(ABS(I37))))</f>
        <v>0.111</v>
      </c>
      <c r="J42" s="1">
        <f>ROUND(J37/G37, 4-1-INT(LOG10(ABS(J37))))</f>
        <v>0.185</v>
      </c>
      <c r="K42" s="7">
        <f>ROUND(K37/G37, 4-1-INT(LOG10(ABS(K37))))</f>
        <v>3.98</v>
      </c>
    </row>
    <row r="43" spans="1:13" x14ac:dyDescent="0.3">
      <c r="A43" s="1">
        <v>0</v>
      </c>
      <c r="B43" s="1">
        <v>10.013199999999999</v>
      </c>
      <c r="C43" s="1">
        <v>1.9668000000000001</v>
      </c>
      <c r="D43" s="1">
        <v>0.67800000000000005</v>
      </c>
      <c r="E43" s="5">
        <v>33.274000000000001</v>
      </c>
      <c r="G43" s="1">
        <v>0</v>
      </c>
      <c r="H43" s="1">
        <v>10.013199999999999</v>
      </c>
      <c r="I43" s="1">
        <v>1.9668000000000001</v>
      </c>
      <c r="J43" s="1">
        <v>0.67800000000000005</v>
      </c>
      <c r="K43" s="5">
        <v>33.274000000000001</v>
      </c>
    </row>
    <row r="44" spans="1:13" x14ac:dyDescent="0.3">
      <c r="A44" s="1">
        <v>0</v>
      </c>
      <c r="B44" s="1">
        <v>0.67749999999999999</v>
      </c>
      <c r="C44" s="1">
        <v>1.0225</v>
      </c>
      <c r="D44" s="1">
        <v>-12.6625</v>
      </c>
      <c r="E44" s="5">
        <v>-20.05</v>
      </c>
      <c r="G44" s="1">
        <v>0</v>
      </c>
      <c r="H44" s="1">
        <v>0.67749999999999999</v>
      </c>
      <c r="I44" s="1">
        <v>1.0225</v>
      </c>
      <c r="J44" s="1">
        <v>-12.6625</v>
      </c>
      <c r="K44" s="5">
        <v>-20.05</v>
      </c>
    </row>
    <row r="45" spans="1:13" x14ac:dyDescent="0.3">
      <c r="A45" s="1">
        <v>1.5</v>
      </c>
      <c r="B45" s="1">
        <v>2.1</v>
      </c>
      <c r="C45" s="1">
        <v>9.8000000000000007</v>
      </c>
      <c r="D45" s="1">
        <v>-1.5</v>
      </c>
      <c r="E45" s="5">
        <v>41.05</v>
      </c>
      <c r="G45" s="2">
        <f>A45-A42</f>
        <v>0</v>
      </c>
      <c r="H45" s="2">
        <f>B45-B42</f>
        <v>1.9665000000000001</v>
      </c>
      <c r="I45" s="2">
        <f>C45-C42</f>
        <v>9.6335000000000015</v>
      </c>
      <c r="J45" s="2">
        <f>D45-D42</f>
        <v>-1.7775000000000001</v>
      </c>
      <c r="K45" s="8">
        <f>E45-E42</f>
        <v>35.08</v>
      </c>
    </row>
    <row r="47" spans="1:13" x14ac:dyDescent="0.3">
      <c r="A47" t="s">
        <v>10</v>
      </c>
    </row>
    <row r="48" spans="1:13" x14ac:dyDescent="0.3">
      <c r="G48" t="s">
        <v>8</v>
      </c>
      <c r="M48" t="s">
        <v>9</v>
      </c>
    </row>
    <row r="49" spans="1:17" x14ac:dyDescent="0.3">
      <c r="A49" s="1">
        <v>1</v>
      </c>
      <c r="B49" s="1">
        <v>8.8999999999999996E-2</v>
      </c>
      <c r="C49" s="1">
        <v>0.111</v>
      </c>
      <c r="D49" s="1">
        <f>J42</f>
        <v>0.185</v>
      </c>
      <c r="E49" s="7">
        <f>K42</f>
        <v>3.98</v>
      </c>
      <c r="G49" s="1">
        <v>1</v>
      </c>
      <c r="H49" s="1">
        <v>8.8999999999999996E-2</v>
      </c>
      <c r="I49" s="1">
        <v>0.111</v>
      </c>
      <c r="J49" s="1">
        <f>J42</f>
        <v>0.185</v>
      </c>
      <c r="K49" s="7">
        <f>K42</f>
        <v>3.98</v>
      </c>
      <c r="M49" s="1">
        <v>1</v>
      </c>
      <c r="N49" s="1">
        <f>J42</f>
        <v>0.185</v>
      </c>
      <c r="O49" s="1">
        <v>0.111</v>
      </c>
      <c r="P49" s="1">
        <v>8.8999999999999996E-2</v>
      </c>
      <c r="Q49" s="7">
        <f>K49</f>
        <v>3.98</v>
      </c>
    </row>
    <row r="50" spans="1:17" x14ac:dyDescent="0.3">
      <c r="A50" s="1">
        <v>0</v>
      </c>
      <c r="B50" s="1">
        <v>10.013199999999999</v>
      </c>
      <c r="C50" s="1">
        <v>1.9668000000000001</v>
      </c>
      <c r="D50" s="1">
        <v>0.67800000000000005</v>
      </c>
      <c r="E50" s="5">
        <v>33.274000000000001</v>
      </c>
      <c r="G50" s="1">
        <v>0</v>
      </c>
      <c r="H50" s="1">
        <v>0.67749999999999999</v>
      </c>
      <c r="I50" s="1">
        <v>1.0225</v>
      </c>
      <c r="J50" s="6">
        <v>-12.6625</v>
      </c>
      <c r="K50" s="5">
        <v>-20.05</v>
      </c>
      <c r="M50" s="1">
        <v>0</v>
      </c>
      <c r="N50" s="6">
        <v>-12.6625</v>
      </c>
      <c r="O50" s="1">
        <v>1.0225</v>
      </c>
      <c r="P50" s="1">
        <v>0.67749999999999999</v>
      </c>
      <c r="Q50" s="5">
        <v>-20.05</v>
      </c>
    </row>
    <row r="51" spans="1:17" x14ac:dyDescent="0.3">
      <c r="A51" s="1">
        <v>0</v>
      </c>
      <c r="B51" s="1">
        <v>0.67749999999999999</v>
      </c>
      <c r="C51" s="1">
        <v>1.0225</v>
      </c>
      <c r="D51" s="6">
        <v>-12.6625</v>
      </c>
      <c r="E51" s="5">
        <v>-20.05</v>
      </c>
      <c r="G51" s="1">
        <v>0</v>
      </c>
      <c r="H51" s="1">
        <v>10.013199999999999</v>
      </c>
      <c r="I51" s="1">
        <v>1.9668000000000001</v>
      </c>
      <c r="J51" s="1">
        <v>0.67800000000000005</v>
      </c>
      <c r="K51" s="5">
        <v>33.274000000000001</v>
      </c>
      <c r="M51" s="1">
        <v>0</v>
      </c>
      <c r="N51" s="1">
        <v>0.67800000000000005</v>
      </c>
      <c r="O51" s="1">
        <v>1.9668000000000001</v>
      </c>
      <c r="P51" s="1">
        <v>10.013199999999999</v>
      </c>
      <c r="Q51" s="5">
        <v>33.274000000000001</v>
      </c>
    </row>
    <row r="52" spans="1:17" x14ac:dyDescent="0.3">
      <c r="A52" s="2">
        <v>0</v>
      </c>
      <c r="B52" s="2">
        <v>1.9664999999999999</v>
      </c>
      <c r="C52" s="2">
        <v>9.6334999999999997</v>
      </c>
      <c r="D52" s="2">
        <v>-1.7775000000000001</v>
      </c>
      <c r="E52" s="8">
        <v>35.08</v>
      </c>
      <c r="G52" s="2">
        <v>0</v>
      </c>
      <c r="H52" s="2">
        <v>1.9664999999999999</v>
      </c>
      <c r="I52" s="2">
        <v>9.6334999999999997</v>
      </c>
      <c r="J52" s="2">
        <v>-1.7775000000000001</v>
      </c>
      <c r="K52" s="8">
        <v>35.08</v>
      </c>
      <c r="M52" s="2">
        <v>0</v>
      </c>
      <c r="N52" s="2">
        <v>-1.7775000000000001</v>
      </c>
      <c r="O52" s="2">
        <v>9.6334999999999997</v>
      </c>
      <c r="P52" s="2">
        <v>1.9664999999999999</v>
      </c>
      <c r="Q52" s="8">
        <v>35.08</v>
      </c>
    </row>
    <row r="54" spans="1:17" x14ac:dyDescent="0.3">
      <c r="A54" s="1">
        <v>1</v>
      </c>
      <c r="B54" s="1">
        <f>J49</f>
        <v>0.185</v>
      </c>
      <c r="C54" s="1">
        <v>0.111</v>
      </c>
      <c r="D54" s="1">
        <v>8.8999999999999996E-2</v>
      </c>
      <c r="E54" s="7">
        <f>K42</f>
        <v>3.98</v>
      </c>
      <c r="G54" s="1">
        <v>1</v>
      </c>
      <c r="H54" s="1">
        <f>J49</f>
        <v>0.185</v>
      </c>
      <c r="I54" s="1">
        <v>0.111</v>
      </c>
      <c r="J54" s="1">
        <v>8.8999999999999996E-2</v>
      </c>
      <c r="K54" s="7">
        <f>K49</f>
        <v>3.98</v>
      </c>
    </row>
    <row r="55" spans="1:17" x14ac:dyDescent="0.3">
      <c r="A55" s="1">
        <v>0</v>
      </c>
      <c r="B55" s="6">
        <f>N50/$N$50</f>
        <v>1</v>
      </c>
      <c r="C55" s="1">
        <f>ROUND(O50/$N$50, 4-1-INT(LOG10(ABS(O50))))</f>
        <v>-8.1000000000000003E-2</v>
      </c>
      <c r="D55" s="1">
        <f t="shared" ref="D55:E55" si="0">ROUND(P50/$N$50, 4-1-INT(LOG10(ABS(P50))))</f>
        <v>-5.3499999999999999E-2</v>
      </c>
      <c r="E55" s="7">
        <f t="shared" si="0"/>
        <v>1.58</v>
      </c>
      <c r="G55" s="1">
        <v>0</v>
      </c>
      <c r="H55" s="1">
        <f>$H$56*B55</f>
        <v>0.67800000000000005</v>
      </c>
      <c r="I55" s="1">
        <f>ROUND($H$56*C55, 3-1-INT(LOG10(ABS(C55))))</f>
        <v>-5.4899999999999997E-2</v>
      </c>
      <c r="J55" s="1">
        <f t="shared" ref="J55:K55" si="1">ROUND($H$56*D55, 3-1-INT(LOG10(ABS(D55))))</f>
        <v>-3.6299999999999999E-2</v>
      </c>
      <c r="K55" s="7">
        <f t="shared" si="1"/>
        <v>1.07</v>
      </c>
    </row>
    <row r="56" spans="1:17" x14ac:dyDescent="0.3">
      <c r="A56" s="1">
        <v>0</v>
      </c>
      <c r="B56" s="1">
        <f>J51</f>
        <v>0.67800000000000005</v>
      </c>
      <c r="C56" s="1">
        <v>1.9668000000000001</v>
      </c>
      <c r="D56" s="1">
        <f>H51</f>
        <v>10.013199999999999</v>
      </c>
      <c r="E56" s="5">
        <v>33.274000000000001</v>
      </c>
      <c r="G56" s="1">
        <v>0</v>
      </c>
      <c r="H56" s="1">
        <v>0.67800000000000005</v>
      </c>
      <c r="I56" s="1">
        <v>1.9668000000000001</v>
      </c>
      <c r="J56" s="1">
        <v>10.013199999999999</v>
      </c>
      <c r="K56" s="5">
        <v>33.274000000000001</v>
      </c>
    </row>
    <row r="57" spans="1:17" x14ac:dyDescent="0.3">
      <c r="A57" s="2">
        <v>0</v>
      </c>
      <c r="B57" s="2">
        <v>-1.7775000000000001</v>
      </c>
      <c r="C57" s="2">
        <v>9.6334999999999997</v>
      </c>
      <c r="D57" s="2">
        <v>1.9664999999999999</v>
      </c>
      <c r="E57" s="8">
        <v>35.08</v>
      </c>
      <c r="G57" s="2">
        <v>0</v>
      </c>
      <c r="H57" s="2">
        <v>-1.7775000000000001</v>
      </c>
      <c r="I57" s="2">
        <v>9.6334999999999997</v>
      </c>
      <c r="J57" s="2">
        <v>1.9664999999999999</v>
      </c>
      <c r="K57" s="8">
        <v>35.08</v>
      </c>
    </row>
    <row r="59" spans="1:17" x14ac:dyDescent="0.3">
      <c r="A59" s="1">
        <v>1</v>
      </c>
      <c r="B59" s="1">
        <f>H54</f>
        <v>0.185</v>
      </c>
      <c r="C59" s="1">
        <v>0.111</v>
      </c>
      <c r="D59" s="1">
        <f>J54</f>
        <v>8.8999999999999996E-2</v>
      </c>
      <c r="E59" s="7">
        <f>K54</f>
        <v>3.98</v>
      </c>
    </row>
    <row r="60" spans="1:17" x14ac:dyDescent="0.3">
      <c r="A60" s="2">
        <f>A55</f>
        <v>0</v>
      </c>
      <c r="B60" s="2">
        <f>B55</f>
        <v>1</v>
      </c>
      <c r="C60" s="2">
        <f>C55</f>
        <v>-8.1000000000000003E-2</v>
      </c>
      <c r="D60" s="2">
        <f>D55</f>
        <v>-5.3499999999999999E-2</v>
      </c>
      <c r="E60" s="8">
        <f>E55</f>
        <v>1.58</v>
      </c>
    </row>
    <row r="61" spans="1:17" x14ac:dyDescent="0.3">
      <c r="A61" s="2">
        <v>0</v>
      </c>
      <c r="B61" s="2">
        <f>H56-H55</f>
        <v>0</v>
      </c>
      <c r="C61" s="2">
        <f t="shared" ref="C61:E61" si="2">I56-I55</f>
        <v>2.0217000000000001</v>
      </c>
      <c r="D61" s="2">
        <f t="shared" si="2"/>
        <v>10.0495</v>
      </c>
      <c r="E61" s="8">
        <f t="shared" si="2"/>
        <v>32.204000000000001</v>
      </c>
    </row>
    <row r="62" spans="1:17" x14ac:dyDescent="0.3">
      <c r="A62" s="2">
        <f>G57</f>
        <v>0</v>
      </c>
      <c r="B62" s="2">
        <v>0</v>
      </c>
      <c r="C62" s="2">
        <v>9.49</v>
      </c>
      <c r="D62" s="2">
        <v>1.871</v>
      </c>
      <c r="E62" s="8">
        <v>37.893999999999998</v>
      </c>
    </row>
    <row r="64" spans="1:17" x14ac:dyDescent="0.3">
      <c r="A64" t="s">
        <v>11</v>
      </c>
    </row>
    <row r="65" spans="1:11" x14ac:dyDescent="0.3">
      <c r="A65" s="1">
        <v>1</v>
      </c>
      <c r="B65" s="1">
        <f>B59</f>
        <v>0.185</v>
      </c>
      <c r="C65" s="1">
        <v>0.111</v>
      </c>
      <c r="D65" s="1">
        <f>J60</f>
        <v>0</v>
      </c>
      <c r="E65" s="7">
        <f>E59</f>
        <v>3.98</v>
      </c>
      <c r="G65" s="1">
        <v>1</v>
      </c>
      <c r="H65" s="1">
        <f>B65</f>
        <v>0.185</v>
      </c>
      <c r="I65" s="1">
        <f>D59</f>
        <v>8.8999999999999996E-2</v>
      </c>
      <c r="J65" s="1">
        <f>C65</f>
        <v>0.111</v>
      </c>
      <c r="K65" s="7">
        <f>E65</f>
        <v>3.98</v>
      </c>
    </row>
    <row r="66" spans="1:11" x14ac:dyDescent="0.3">
      <c r="A66" s="2">
        <f>A61</f>
        <v>0</v>
      </c>
      <c r="B66" s="2">
        <v>1</v>
      </c>
      <c r="C66" s="2">
        <f>C60</f>
        <v>-8.1000000000000003E-2</v>
      </c>
      <c r="D66" s="2">
        <f>D60</f>
        <v>-5.3499999999999999E-2</v>
      </c>
      <c r="E66" s="8">
        <f>E60</f>
        <v>1.58</v>
      </c>
      <c r="G66" s="2">
        <f>G61</f>
        <v>0</v>
      </c>
      <c r="H66" s="2">
        <v>1</v>
      </c>
      <c r="I66" s="2">
        <f>D66</f>
        <v>-5.3499999999999999E-2</v>
      </c>
      <c r="J66" s="2">
        <f>C66</f>
        <v>-8.1000000000000003E-2</v>
      </c>
      <c r="K66" s="8">
        <f>E66</f>
        <v>1.58</v>
      </c>
    </row>
    <row r="67" spans="1:11" x14ac:dyDescent="0.3">
      <c r="A67" s="2">
        <v>0</v>
      </c>
      <c r="B67" s="2">
        <f>H62-H61</f>
        <v>0</v>
      </c>
      <c r="C67" s="2">
        <f>C61</f>
        <v>2.0217000000000001</v>
      </c>
      <c r="D67" s="9">
        <f>D61-J61</f>
        <v>10.0495</v>
      </c>
      <c r="E67" s="8">
        <f>E61</f>
        <v>32.204000000000001</v>
      </c>
      <c r="G67" s="2">
        <v>0</v>
      </c>
      <c r="H67" s="2">
        <f>N62-N61</f>
        <v>0</v>
      </c>
      <c r="I67" s="2">
        <f>D67</f>
        <v>10.0495</v>
      </c>
      <c r="J67" s="9">
        <f>C67</f>
        <v>2.0217000000000001</v>
      </c>
      <c r="K67" s="8">
        <f>E67</f>
        <v>32.204000000000001</v>
      </c>
    </row>
    <row r="68" spans="1:11" x14ac:dyDescent="0.3">
      <c r="A68" s="2">
        <f>G63</f>
        <v>0</v>
      </c>
      <c r="B68" s="2">
        <v>0</v>
      </c>
      <c r="C68" s="2">
        <v>9.49</v>
      </c>
      <c r="D68" s="2">
        <v>1.871</v>
      </c>
      <c r="E68" s="8">
        <v>37.893999999999998</v>
      </c>
      <c r="G68" s="2">
        <f>M63</f>
        <v>0</v>
      </c>
      <c r="H68" s="2">
        <v>0</v>
      </c>
      <c r="I68" s="2">
        <f>D68</f>
        <v>1.871</v>
      </c>
      <c r="J68" s="2">
        <f>C68</f>
        <v>9.49</v>
      </c>
      <c r="K68" s="8">
        <v>37.893999999999998</v>
      </c>
    </row>
    <row r="70" spans="1:11" x14ac:dyDescent="0.3">
      <c r="A70">
        <v>1</v>
      </c>
      <c r="B70">
        <v>0.185</v>
      </c>
      <c r="C70">
        <v>8.8999999999999996E-2</v>
      </c>
      <c r="D70">
        <v>0.111</v>
      </c>
      <c r="E70">
        <v>3.98</v>
      </c>
    </row>
    <row r="71" spans="1:11" x14ac:dyDescent="0.3">
      <c r="A71">
        <v>0</v>
      </c>
      <c r="B71" s="2">
        <v>1</v>
      </c>
      <c r="C71">
        <v>-5.3499999999999999E-2</v>
      </c>
      <c r="D71">
        <v>-8.1000000000000003E-2</v>
      </c>
      <c r="E71">
        <v>1.5840000000000001</v>
      </c>
    </row>
    <row r="72" spans="1:11" x14ac:dyDescent="0.3">
      <c r="A72">
        <v>0</v>
      </c>
      <c r="B72" s="2">
        <v>0</v>
      </c>
      <c r="C72">
        <v>1</v>
      </c>
      <c r="D72">
        <v>0.20100000000000001</v>
      </c>
      <c r="E72">
        <v>3.2040000000000002</v>
      </c>
    </row>
    <row r="73" spans="1:11" x14ac:dyDescent="0.3">
      <c r="A73">
        <v>0</v>
      </c>
      <c r="B73" s="2">
        <v>0</v>
      </c>
      <c r="C73">
        <v>0</v>
      </c>
      <c r="D73">
        <v>9.1129999999999995</v>
      </c>
      <c r="E73">
        <v>31.893999999999998</v>
      </c>
    </row>
    <row r="76" spans="1:11" x14ac:dyDescent="0.3">
      <c r="A76" s="2">
        <v>3</v>
      </c>
      <c r="F76" t="s">
        <v>12</v>
      </c>
      <c r="H76" s="9">
        <v>0.5</v>
      </c>
    </row>
    <row r="77" spans="1:11" x14ac:dyDescent="0.3">
      <c r="A77" s="2">
        <v>2.5</v>
      </c>
    </row>
    <row r="78" spans="1:11" x14ac:dyDescent="0.3">
      <c r="A78" s="2">
        <v>3.5</v>
      </c>
    </row>
    <row r="79" spans="1:11" x14ac:dyDescent="0.3">
      <c r="A79" s="2">
        <v>2</v>
      </c>
    </row>
    <row r="82" spans="1:12" x14ac:dyDescent="0.3">
      <c r="A82" t="s">
        <v>13</v>
      </c>
    </row>
    <row r="83" spans="1:12" x14ac:dyDescent="0.3">
      <c r="A83">
        <v>0</v>
      </c>
      <c r="B83">
        <v>-0.12</v>
      </c>
      <c r="C83">
        <v>-0.20699999999999999</v>
      </c>
      <c r="D83">
        <v>-8.8999999999999996E-2</v>
      </c>
      <c r="E83">
        <v>3.7610000000000001</v>
      </c>
      <c r="G83" t="s">
        <v>14</v>
      </c>
      <c r="H83" t="s">
        <v>15</v>
      </c>
      <c r="I83" t="s">
        <v>16</v>
      </c>
      <c r="J83" t="s">
        <v>17</v>
      </c>
      <c r="K83" t="s">
        <v>18</v>
      </c>
      <c r="L83" t="s">
        <v>19</v>
      </c>
    </row>
    <row r="84" spans="1:12" x14ac:dyDescent="0.3">
      <c r="A84">
        <v>-8.8999999999999996E-2</v>
      </c>
      <c r="B84">
        <v>0</v>
      </c>
      <c r="C84">
        <v>-0.111</v>
      </c>
      <c r="D84">
        <v>-0.185</v>
      </c>
      <c r="E84">
        <v>3.9809999999999999</v>
      </c>
      <c r="G84">
        <v>0</v>
      </c>
      <c r="H84" s="10">
        <v>0</v>
      </c>
      <c r="I84" s="10">
        <v>0</v>
      </c>
      <c r="J84" s="10">
        <v>0</v>
      </c>
      <c r="K84" s="10">
        <v>0</v>
      </c>
      <c r="L84" s="10"/>
    </row>
    <row r="85" spans="1:12" x14ac:dyDescent="0.3">
      <c r="A85">
        <v>-0.214</v>
      </c>
      <c r="B85">
        <v>-0.153</v>
      </c>
      <c r="C85">
        <v>0</v>
      </c>
      <c r="D85">
        <v>0.153</v>
      </c>
      <c r="E85">
        <v>4.18</v>
      </c>
      <c r="G85">
        <v>1</v>
      </c>
      <c r="H85" s="10">
        <f>ROUND( $E$83 + $B$83*I84 + $C$83*J84+ $D$83*K84,4)</f>
        <v>3.7610000000000001</v>
      </c>
      <c r="I85" s="10">
        <f xml:space="preserve"> ROUND($E$84 + $A$84*H85 + $C$84*J84 + $D$84*K84,4)</f>
        <v>3.6463000000000001</v>
      </c>
      <c r="J85" s="10">
        <f xml:space="preserve"> ROUND($E$85 + $A$85*H85 + $B$85*I85+ $D$85*K84,4)</f>
        <v>2.8172999999999999</v>
      </c>
      <c r="K85" s="10">
        <f xml:space="preserve"> ROUND($E$86 + $A$86*H85 + $B$86*I85+ $C$86*J85,4)</f>
        <v>2.1524000000000001</v>
      </c>
      <c r="L85" s="10">
        <f xml:space="preserve"> MAX(ABS(H84-H85),ABS(I84-I85), ABS(J84-J85), ABS(K84-K85))</f>
        <v>3.7610000000000001</v>
      </c>
    </row>
    <row r="86" spans="1:12" x14ac:dyDescent="0.3">
      <c r="A86">
        <v>7.3999999999999996E-2</v>
      </c>
      <c r="B86">
        <v>0.20499999999999999</v>
      </c>
      <c r="C86">
        <v>0.106</v>
      </c>
      <c r="D86">
        <v>0</v>
      </c>
      <c r="E86">
        <v>0.82799999999999996</v>
      </c>
      <c r="G86">
        <v>2</v>
      </c>
      <c r="H86" s="10">
        <f t="shared" ref="H86:H88" si="3">ROUND( $E$83 + $B$83*I85 + $C$83*J85+ $D$83*K85,4)</f>
        <v>2.5487000000000002</v>
      </c>
      <c r="I86" s="10">
        <f t="shared" ref="I86:I89" si="4" xml:space="preserve"> ROUND($E$84 + $A$84*H86 + $C$84*J85 + $D$84*K85,4)</f>
        <v>3.0432999999999999</v>
      </c>
      <c r="J86" s="10">
        <f t="shared" ref="J86:J89" si="5" xml:space="preserve"> ROUND($E$85 + $A$85*H86 + $B$85*I86+ $D$85*K85,4)</f>
        <v>3.4983</v>
      </c>
      <c r="K86" s="10">
        <f t="shared" ref="K86:K89" si="6" xml:space="preserve"> ROUND($E$86 + $A$86*H86 + $B$86*I86+ $C$86*J86,4)</f>
        <v>2.0112999999999999</v>
      </c>
      <c r="L86" s="10">
        <f t="shared" ref="L86:L89" si="7" xml:space="preserve"> MAX(ABS(H85-H86),ABS(I85-I86), ABS(J85-J86), ABS(K85-K86))</f>
        <v>1.2122999999999999</v>
      </c>
    </row>
    <row r="87" spans="1:12" x14ac:dyDescent="0.3">
      <c r="G87">
        <v>3</v>
      </c>
      <c r="H87" s="10">
        <f t="shared" si="3"/>
        <v>2.4927000000000001</v>
      </c>
      <c r="I87" s="10">
        <f xml:space="preserve"> ROUND($E$84 + $A$84*H87 + $C$84*J86 + $D$84*K86,3)</f>
        <v>2.9990000000000001</v>
      </c>
      <c r="J87" s="10">
        <f t="shared" si="5"/>
        <v>3.4954000000000001</v>
      </c>
      <c r="K87" s="10">
        <f t="shared" si="6"/>
        <v>1.9978</v>
      </c>
      <c r="L87" s="10">
        <f t="shared" si="7"/>
        <v>5.600000000000005E-2</v>
      </c>
    </row>
    <row r="88" spans="1:12" x14ac:dyDescent="0.3">
      <c r="G88">
        <v>4</v>
      </c>
      <c r="H88" s="10">
        <f t="shared" si="3"/>
        <v>2.4998</v>
      </c>
      <c r="I88" s="10">
        <f xml:space="preserve"> ROUND($E$84 + $A$84*H88 + $C$84*J87 + $D$84*K87,3)</f>
        <v>3.0009999999999999</v>
      </c>
      <c r="J88" s="10">
        <f t="shared" si="5"/>
        <v>3.4916</v>
      </c>
      <c r="K88" s="10">
        <f t="shared" si="6"/>
        <v>1.9983</v>
      </c>
      <c r="L88" s="10">
        <f t="shared" si="7"/>
        <v>7.0999999999998842E-3</v>
      </c>
    </row>
    <row r="89" spans="1:12" x14ac:dyDescent="0.3">
      <c r="G89">
        <v>5</v>
      </c>
      <c r="H89" s="10">
        <f>ROUND( $E$83 + $B$83*I88 + $C$83*J88+ $D$83*K88,4)</f>
        <v>2.5003000000000002</v>
      </c>
      <c r="I89" s="10">
        <f t="shared" si="4"/>
        <v>3.0011999999999999</v>
      </c>
      <c r="J89" s="10">
        <f t="shared" si="5"/>
        <v>3.4914999999999998</v>
      </c>
      <c r="K89" s="10">
        <f t="shared" si="6"/>
        <v>1.9984</v>
      </c>
      <c r="L89" s="10">
        <f t="shared" si="7"/>
        <v>5.0000000000016698E-4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zoomScale="91" workbookViewId="0">
      <selection activeCell="G25" sqref="G25"/>
    </sheetView>
  </sheetViews>
  <sheetFormatPr defaultRowHeight="14.4" x14ac:dyDescent="0.3"/>
  <cols>
    <col min="1" max="9" width="10.33203125" customWidth="1"/>
  </cols>
  <sheetData>
    <row r="1" spans="1:9" x14ac:dyDescent="0.3">
      <c r="A1" t="s">
        <v>20</v>
      </c>
      <c r="B1">
        <v>1</v>
      </c>
      <c r="C1">
        <v>1.1000000000000001</v>
      </c>
      <c r="D1">
        <v>1.2</v>
      </c>
      <c r="E1">
        <v>1.3</v>
      </c>
      <c r="F1">
        <v>1.4</v>
      </c>
      <c r="G1">
        <v>1.5</v>
      </c>
      <c r="H1">
        <v>1.6</v>
      </c>
      <c r="I1">
        <v>1.7</v>
      </c>
    </row>
    <row r="2" spans="1:9" x14ac:dyDescent="0.3">
      <c r="A2" t="s">
        <v>21</v>
      </c>
      <c r="B2">
        <v>1.175</v>
      </c>
      <c r="C2">
        <v>1.335</v>
      </c>
      <c r="D2">
        <v>1.5089999999999999</v>
      </c>
      <c r="E2">
        <v>1.698</v>
      </c>
      <c r="F2">
        <v>1.9039999999999999</v>
      </c>
      <c r="G2">
        <v>2.129</v>
      </c>
      <c r="H2">
        <v>2.3759999999999999</v>
      </c>
      <c r="I2">
        <v>2.6459999999999999</v>
      </c>
    </row>
    <row r="5" spans="1:9" x14ac:dyDescent="0.3">
      <c r="A5" t="s">
        <v>22</v>
      </c>
      <c r="C5" t="s">
        <v>24</v>
      </c>
      <c r="D5" t="s">
        <v>23</v>
      </c>
      <c r="E5">
        <v>1.04</v>
      </c>
    </row>
    <row r="6" spans="1:9" x14ac:dyDescent="0.3">
      <c r="A6">
        <f>B1</f>
        <v>1</v>
      </c>
      <c r="B6">
        <f>B2</f>
        <v>1.175</v>
      </c>
      <c r="C6">
        <f>((E5-A7)*(E5-A8)*(E5-A9))/((A6-A7)*(A6-A8)*(A6-A9))</f>
        <v>0.41599999999999981</v>
      </c>
      <c r="D6" s="11">
        <f>C6*B6</f>
        <v>0.48879999999999979</v>
      </c>
    </row>
    <row r="7" spans="1:9" x14ac:dyDescent="0.3">
      <c r="A7">
        <f>C1</f>
        <v>1.1000000000000001</v>
      </c>
      <c r="B7">
        <f>C2</f>
        <v>1.335</v>
      </c>
      <c r="C7">
        <f>((E5-A6)*(E5-A8)*(E5-A9))/((A7-A6)*(A7-A8)*(A7-A9))</f>
        <v>0.83200000000000096</v>
      </c>
      <c r="D7" s="11">
        <f t="shared" ref="D7:D9" si="0">C7*B7</f>
        <v>1.1107200000000013</v>
      </c>
    </row>
    <row r="8" spans="1:9" x14ac:dyDescent="0.3">
      <c r="A8">
        <f>D1</f>
        <v>1.2</v>
      </c>
      <c r="B8">
        <f>D2</f>
        <v>1.5089999999999999</v>
      </c>
      <c r="C8">
        <f>((E5-A6)*(E5-A7)*(E5-A9))/((A8-A6)*(A8-A7)*(A8-A9))</f>
        <v>-0.31200000000000072</v>
      </c>
      <c r="D8" s="11">
        <f t="shared" si="0"/>
        <v>-0.47080800000000106</v>
      </c>
    </row>
    <row r="9" spans="1:9" x14ac:dyDescent="0.3">
      <c r="A9">
        <f>E1</f>
        <v>1.3</v>
      </c>
      <c r="B9">
        <f>E2</f>
        <v>1.698</v>
      </c>
      <c r="C9">
        <f>((E5-A6)*(E5-A7)*(E5-A8))/((A9-A6)*(A9-A7)*(A9-A8))</f>
        <v>6.4000000000000015E-2</v>
      </c>
      <c r="D9" s="11">
        <f t="shared" si="0"/>
        <v>0.10867200000000002</v>
      </c>
    </row>
    <row r="10" spans="1:9" x14ac:dyDescent="0.3">
      <c r="C10">
        <f>SUM(C6:C9)</f>
        <v>1</v>
      </c>
      <c r="D10" s="14">
        <f>SUM(D6:D9)</f>
        <v>1.237384</v>
      </c>
    </row>
    <row r="11" spans="1:9" x14ac:dyDescent="0.3">
      <c r="A11" t="s">
        <v>25</v>
      </c>
    </row>
    <row r="12" spans="1:9" x14ac:dyDescent="0.3">
      <c r="A12">
        <f>(B7-B6)/(A7-A6)</f>
        <v>1.5999999999999979</v>
      </c>
      <c r="B12">
        <f>(A13-A12)/(A8-A6)</f>
        <v>0.7000000000000185</v>
      </c>
      <c r="C12">
        <f>(B13-B12)/(A9-A6)</f>
        <v>0.16666666666655983</v>
      </c>
      <c r="E12">
        <f>B6</f>
        <v>1.175</v>
      </c>
    </row>
    <row r="13" spans="1:9" x14ac:dyDescent="0.3">
      <c r="A13">
        <f>(B8-B7)/(A8-A7)</f>
        <v>1.7400000000000015</v>
      </c>
      <c r="B13">
        <f>(A14-A13)/(A9-A7)</f>
        <v>0.74999999999998646</v>
      </c>
      <c r="E13">
        <f>A12*(E5-A6)</f>
        <v>6.3999999999999974E-2</v>
      </c>
    </row>
    <row r="14" spans="1:9" x14ac:dyDescent="0.3">
      <c r="A14">
        <f>(B9-B8)/(A9-A8)</f>
        <v>1.8899999999999988</v>
      </c>
      <c r="E14">
        <f>B12*(E5-A6)*(E5-A7)</f>
        <v>-1.6800000000000473E-3</v>
      </c>
    </row>
    <row r="15" spans="1:9" x14ac:dyDescent="0.3">
      <c r="E15">
        <f>C12*(E5-A6)*(E5-A7)*(E5-A8)</f>
        <v>6.3999999999959055E-5</v>
      </c>
    </row>
    <row r="16" spans="1:9" x14ac:dyDescent="0.3">
      <c r="E16" s="13">
        <f>SUM(E12:E15)</f>
        <v>1.237384</v>
      </c>
    </row>
    <row r="18" spans="1:7" x14ac:dyDescent="0.3">
      <c r="A18" t="s">
        <v>20</v>
      </c>
      <c r="B18" t="s">
        <v>21</v>
      </c>
      <c r="C18" s="12" t="s">
        <v>29</v>
      </c>
      <c r="D18" t="s">
        <v>26</v>
      </c>
      <c r="E18" t="s">
        <v>28</v>
      </c>
      <c r="F18" t="s">
        <v>27</v>
      </c>
    </row>
    <row r="19" spans="1:7" x14ac:dyDescent="0.3">
      <c r="A19">
        <f>B1</f>
        <v>1</v>
      </c>
      <c r="B19">
        <f>B2</f>
        <v>1.175</v>
      </c>
    </row>
    <row r="20" spans="1:7" x14ac:dyDescent="0.3">
      <c r="A20">
        <f>C1</f>
        <v>1.1000000000000001</v>
      </c>
      <c r="B20">
        <f>C2</f>
        <v>1.335</v>
      </c>
      <c r="C20">
        <f>B20-B19</f>
        <v>0.15999999999999992</v>
      </c>
    </row>
    <row r="21" spans="1:7" x14ac:dyDescent="0.3">
      <c r="A21">
        <f>D1</f>
        <v>1.2</v>
      </c>
      <c r="B21">
        <f>D2</f>
        <v>1.5089999999999999</v>
      </c>
      <c r="C21">
        <f t="shared" ref="C21:C26" si="1">B21-B20</f>
        <v>0.17399999999999993</v>
      </c>
      <c r="D21">
        <f t="shared" ref="D21:D26" si="2">C21-C20</f>
        <v>1.4000000000000012E-2</v>
      </c>
    </row>
    <row r="22" spans="1:7" x14ac:dyDescent="0.3">
      <c r="A22">
        <f>E1</f>
        <v>1.3</v>
      </c>
      <c r="B22">
        <f>E2</f>
        <v>1.698</v>
      </c>
      <c r="C22">
        <f t="shared" si="1"/>
        <v>0.18900000000000006</v>
      </c>
      <c r="D22">
        <f t="shared" si="2"/>
        <v>1.5000000000000124E-2</v>
      </c>
      <c r="E22">
        <f t="shared" ref="E22:E26" si="3">D22-D21</f>
        <v>1.0000000000001119E-3</v>
      </c>
    </row>
    <row r="23" spans="1:7" x14ac:dyDescent="0.3">
      <c r="A23">
        <f>F1</f>
        <v>1.4</v>
      </c>
      <c r="B23">
        <f>F2</f>
        <v>1.9039999999999999</v>
      </c>
      <c r="C23">
        <f t="shared" si="1"/>
        <v>0.20599999999999996</v>
      </c>
      <c r="D23">
        <f t="shared" si="2"/>
        <v>1.6999999999999904E-2</v>
      </c>
      <c r="E23">
        <f t="shared" si="3"/>
        <v>1.9999999999997797E-3</v>
      </c>
    </row>
    <row r="24" spans="1:7" x14ac:dyDescent="0.3">
      <c r="A24">
        <f>G1</f>
        <v>1.5</v>
      </c>
      <c r="B24">
        <f>G2</f>
        <v>2.129</v>
      </c>
      <c r="C24">
        <f t="shared" si="1"/>
        <v>0.22500000000000009</v>
      </c>
      <c r="D24">
        <f t="shared" si="2"/>
        <v>1.9000000000000128E-2</v>
      </c>
      <c r="E24">
        <f t="shared" si="3"/>
        <v>2.0000000000002238E-3</v>
      </c>
    </row>
    <row r="25" spans="1:7" x14ac:dyDescent="0.3">
      <c r="A25">
        <f>H1</f>
        <v>1.6</v>
      </c>
      <c r="B25">
        <f>H2</f>
        <v>2.3759999999999999</v>
      </c>
      <c r="C25">
        <f t="shared" si="1"/>
        <v>0.24699999999999989</v>
      </c>
      <c r="D25">
        <f t="shared" si="2"/>
        <v>2.1999999999999797E-2</v>
      </c>
      <c r="E25">
        <f t="shared" si="3"/>
        <v>2.9999999999996696E-3</v>
      </c>
    </row>
    <row r="26" spans="1:7" x14ac:dyDescent="0.3">
      <c r="A26">
        <f>I1</f>
        <v>1.7</v>
      </c>
      <c r="B26">
        <f>I2</f>
        <v>2.6459999999999999</v>
      </c>
      <c r="C26">
        <f t="shared" si="1"/>
        <v>0.27</v>
      </c>
      <c r="D26">
        <f t="shared" si="2"/>
        <v>2.3000000000000131E-2</v>
      </c>
      <c r="E26">
        <f t="shared" si="3"/>
        <v>1.000000000000334E-3</v>
      </c>
    </row>
    <row r="29" spans="1:7" x14ac:dyDescent="0.3">
      <c r="A29" t="s">
        <v>30</v>
      </c>
      <c r="B29">
        <v>1</v>
      </c>
      <c r="D29" t="s">
        <v>32</v>
      </c>
      <c r="E29">
        <f>(1.04 - B29)/B30</f>
        <v>0.40000000000000036</v>
      </c>
      <c r="G29" t="s">
        <v>34</v>
      </c>
    </row>
    <row r="30" spans="1:7" x14ac:dyDescent="0.3">
      <c r="A30" t="s">
        <v>31</v>
      </c>
      <c r="B30">
        <v>0.1</v>
      </c>
      <c r="E30" s="10">
        <f>B19 + E29*C20 + (E29*(E29-1)/2)*D21 + (E29*(E29-1)*(E29-2)/6)*E22</f>
        <v>1.2373840000000003</v>
      </c>
    </row>
    <row r="31" spans="1:7" x14ac:dyDescent="0.3">
      <c r="G31" t="s">
        <v>35</v>
      </c>
    </row>
    <row r="32" spans="1:7" x14ac:dyDescent="0.3">
      <c r="A32" t="s">
        <v>33</v>
      </c>
      <c r="B32">
        <f>A26</f>
        <v>1.7</v>
      </c>
      <c r="D32" t="s">
        <v>32</v>
      </c>
      <c r="E32">
        <f>(1.57 - B32)/B30</f>
        <v>-1.2999999999999989</v>
      </c>
    </row>
    <row r="33" spans="1:5" x14ac:dyDescent="0.3">
      <c r="A33" t="s">
        <v>31</v>
      </c>
      <c r="B33">
        <v>0.1</v>
      </c>
      <c r="E33" s="10">
        <f>B26 + E32*C26 + (E32*(E32+1)/2)*D26 + (E32*(E32+1)*(E32+2)/6)*E26</f>
        <v>2.2995304999999999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Маша Хомиш</cp:lastModifiedBy>
  <dcterms:created xsi:type="dcterms:W3CDTF">2026-04-22T23:25:45Z</dcterms:created>
  <dcterms:modified xsi:type="dcterms:W3CDTF">2026-05-12T16:26:25Z</dcterms:modified>
</cp:coreProperties>
</file>