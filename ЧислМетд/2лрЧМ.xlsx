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0709138-8919-4030-9E60-F1CA14B065A9}" xr6:coauthVersionLast="47" xr6:coauthVersionMax="47" xr10:uidLastSave="{00000000-0000-0000-0000-000000000000}"/>
  <bookViews>
    <workbookView xWindow="552" yWindow="276" windowWidth="12468" windowHeight="1070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K25" i="1"/>
  <c r="L25" i="1"/>
  <c r="N25" i="1" s="1"/>
  <c r="M25" i="1"/>
  <c r="L26" i="1"/>
  <c r="N24" i="1"/>
  <c r="M24" i="1"/>
  <c r="L24" i="1"/>
  <c r="K24" i="1"/>
  <c r="J24" i="1"/>
  <c r="M23" i="1"/>
  <c r="L23" i="1"/>
  <c r="K23" i="1"/>
  <c r="J23" i="1"/>
  <c r="N23" i="1"/>
  <c r="N22" i="1"/>
  <c r="Q16" i="1"/>
  <c r="N20" i="1" a="1"/>
  <c r="N20" i="1" s="1"/>
  <c r="M20" i="1" a="1"/>
  <c r="M20" i="1" s="1"/>
  <c r="L20" i="1" a="1"/>
  <c r="L20" i="1" s="1"/>
  <c r="K20" i="1" a="1"/>
  <c r="K20" i="1" s="1"/>
  <c r="J20" i="1" a="1"/>
  <c r="J20" i="1" s="1"/>
  <c r="N19" i="1"/>
  <c r="N18" i="1"/>
  <c r="N17" i="1"/>
  <c r="N16" i="1"/>
  <c r="K19" i="1"/>
  <c r="L19" i="1"/>
  <c r="M18" i="1"/>
  <c r="K18" i="1"/>
  <c r="L17" i="1"/>
  <c r="M17" i="1"/>
  <c r="M16" i="1"/>
  <c r="L16" i="1"/>
  <c r="J19" i="1"/>
  <c r="J18" i="1"/>
  <c r="J17" i="1"/>
  <c r="K16" i="1"/>
  <c r="G41" i="1"/>
  <c r="G42" i="1"/>
  <c r="G43" i="1"/>
  <c r="G44" i="1"/>
  <c r="B44" i="1"/>
  <c r="C44" i="1"/>
  <c r="D44" i="1"/>
  <c r="E44" i="1"/>
  <c r="A44" i="1"/>
  <c r="A33" i="1"/>
  <c r="E43" i="1"/>
  <c r="D43" i="1"/>
  <c r="C43" i="1"/>
  <c r="B43" i="1"/>
  <c r="E42" i="1"/>
  <c r="D42" i="1"/>
  <c r="C42" i="1"/>
  <c r="B42" i="1"/>
  <c r="A42" i="1"/>
  <c r="E41" i="1"/>
  <c r="D41" i="1"/>
  <c r="C41" i="1"/>
  <c r="B41" i="1"/>
  <c r="A41" i="1"/>
  <c r="B39" i="1"/>
  <c r="C39" i="1"/>
  <c r="D39" i="1"/>
  <c r="E39" i="1"/>
  <c r="A39" i="1"/>
  <c r="A43" i="1" s="1"/>
  <c r="B38" i="1"/>
  <c r="C38" i="1"/>
  <c r="D38" i="1"/>
  <c r="E38" i="1"/>
  <c r="A38" i="1"/>
  <c r="E37" i="1"/>
  <c r="D37" i="1"/>
  <c r="C37" i="1"/>
  <c r="B37" i="1"/>
  <c r="A37" i="1"/>
  <c r="E36" i="1"/>
  <c r="D36" i="1"/>
  <c r="C36" i="1"/>
  <c r="B36" i="1"/>
  <c r="A36" i="1"/>
  <c r="B32" i="1"/>
  <c r="C32" i="1"/>
  <c r="D32" i="1"/>
  <c r="E32" i="1"/>
  <c r="A32" i="1"/>
  <c r="B34" i="1"/>
  <c r="C34" i="1"/>
  <c r="D34" i="1"/>
  <c r="E34" i="1"/>
  <c r="A34" i="1"/>
  <c r="B33" i="1"/>
  <c r="C33" i="1"/>
  <c r="D33" i="1"/>
  <c r="E33" i="1"/>
  <c r="E31" i="1"/>
  <c r="D31" i="1"/>
  <c r="C31" i="1"/>
  <c r="B31" i="1"/>
  <c r="A31" i="1"/>
  <c r="B29" i="1"/>
  <c r="C29" i="1"/>
  <c r="D29" i="1"/>
  <c r="E29" i="1"/>
  <c r="A29" i="1"/>
  <c r="B28" i="1"/>
  <c r="C28" i="1"/>
  <c r="D28" i="1"/>
  <c r="E28" i="1"/>
  <c r="A28" i="1"/>
  <c r="B26" i="1"/>
  <c r="C26" i="1"/>
  <c r="D26" i="1"/>
  <c r="E26" i="1"/>
  <c r="B27" i="1"/>
  <c r="C27" i="1"/>
  <c r="D27" i="1"/>
  <c r="E27" i="1"/>
  <c r="A27" i="1"/>
  <c r="A26" i="1"/>
  <c r="B24" i="1"/>
  <c r="C24" i="1"/>
  <c r="D24" i="1"/>
  <c r="E24" i="1"/>
  <c r="A24" i="1"/>
  <c r="B23" i="1"/>
  <c r="C23" i="1"/>
  <c r="D23" i="1"/>
  <c r="E23" i="1"/>
  <c r="A23" i="1"/>
  <c r="E22" i="1"/>
  <c r="D22" i="1"/>
  <c r="C22" i="1"/>
  <c r="B22" i="1"/>
  <c r="A22" i="1"/>
  <c r="B21" i="1"/>
  <c r="C21" i="1"/>
  <c r="D21" i="1"/>
  <c r="E21" i="1"/>
  <c r="A21" i="1"/>
  <c r="G11" i="1"/>
  <c r="G9" i="1"/>
  <c r="G3" i="1"/>
  <c r="D12" i="1" a="1"/>
  <c r="D12" i="1" s="1"/>
  <c r="C12" i="1" a="1"/>
  <c r="C12" i="1" s="1"/>
  <c r="B12" i="1" a="1"/>
  <c r="B12" i="1" s="1"/>
  <c r="A12" i="1" a="1"/>
  <c r="A12" i="1" s="1"/>
  <c r="A6" i="1" a="1"/>
  <c r="A6" i="1"/>
  <c r="D6" i="1" a="1"/>
  <c r="D6" i="1" s="1"/>
  <c r="C6" i="1" a="1"/>
  <c r="C6" i="1" s="1"/>
  <c r="B6" i="1" a="1"/>
  <c r="B6" i="1" s="1"/>
  <c r="A8" i="1" a="1"/>
  <c r="A8" i="1" s="1"/>
  <c r="G2" i="1"/>
  <c r="M26" i="1" l="1"/>
  <c r="K26" i="1"/>
  <c r="J27" i="1" s="1"/>
  <c r="J26" i="1"/>
  <c r="C11" i="1"/>
  <c r="B11" i="1"/>
  <c r="A11" i="1"/>
  <c r="D10" i="1"/>
  <c r="C10" i="1"/>
  <c r="B10" i="1"/>
  <c r="A10" i="1"/>
  <c r="D9" i="1"/>
  <c r="C9" i="1"/>
  <c r="B9" i="1"/>
  <c r="A9" i="1"/>
  <c r="D8" i="1"/>
  <c r="C8" i="1"/>
  <c r="B8" i="1"/>
  <c r="D11" i="1"/>
  <c r="N26" i="1" l="1"/>
  <c r="K27" i="1"/>
  <c r="L27" i="1"/>
  <c r="M27" i="1"/>
  <c r="K28" i="1"/>
  <c r="L28" i="1"/>
  <c r="M28" i="1"/>
  <c r="N27" i="1"/>
  <c r="J28" i="1" l="1"/>
  <c r="J29" i="1"/>
  <c r="N28" i="1" l="1"/>
  <c r="K29" i="1"/>
  <c r="N29" i="1" s="1"/>
  <c r="L29" i="1"/>
  <c r="M2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<sst xmlns="http://schemas.openxmlformats.org/spreadsheetml/2006/main" count="11" uniqueCount="11">
  <si>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Матрица A и b</t>
  </si>
  <si>
    <t xml:space="preserve">Обратная матрица </t>
  </si>
  <si>
    <t>Определитель (det A)</t>
  </si>
  <si>
    <t>Норма матрицы |A|</t>
  </si>
  <si>
    <t>Норма матрицы |A|^-1</t>
  </si>
  <si>
    <t>Число обусловленности</t>
  </si>
  <si>
    <t>Х4</t>
  </si>
  <si>
    <t>Х1</t>
  </si>
  <si>
    <t>Х2</t>
  </si>
  <si>
    <t>Х3</t>
  </si>
  <si>
    <t>Норма |C|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</si>
</sst>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 Light"/>
      <family val="2"/>
      <charset val="204"/>
      <scheme val="major"/>
    </font>
  </fonts>
  <fills count="6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1" fillId="0" borderId="0" xfId="0" applyFont="1"/>
    <xf numFmtId="0" fontId="0" fillId="0" borderId="0" xfId="0" applyFill="1" applyBorder="1"/>
    <xf numFmtId="0" fontId="2" fillId="0" borderId="0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E8E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abSelected="1" topLeftCell="I15" zoomScale="81" zoomScaleNormal="130" workbookViewId="0">
      <selection activeCell="P36" sqref="P36"/>
    </sheetView>
  </sheetViews>
  <sheetFormatPr defaultRowHeight="14.4" x14ac:dyDescent="0.3"/>
  <cols>
    <col min="1" max="7" width="13" customWidth="1"/>
    <col min="8" max="8" width="18.6640625" customWidth="1"/>
    <col min="9" max="9" width="13" customWidth="1"/>
    <col min="10" max="14" width="13.109375" customWidth="1"/>
    <col min="16" max="17" width="14.21875" customWidth="1"/>
  </cols>
  <sheetData>
    <row r="1" spans="1:17" x14ac:dyDescent="0.3">
      <c r="A1" s="4" t="s">
        <v>0</v>
      </c>
      <c r="B1" s="5"/>
      <c r="C1" s="5"/>
      <c r="D1" s="5"/>
      <c r="E1" s="6"/>
    </row>
    <row r="2" spans="1:17" x14ac:dyDescent="0.3">
      <c r="A2" s="1">
        <v>20.9</v>
      </c>
      <c r="B2" s="1">
        <v>1.2</v>
      </c>
      <c r="C2" s="1">
        <v>2.1</v>
      </c>
      <c r="D2" s="1">
        <v>0.9</v>
      </c>
      <c r="E2" s="2">
        <v>34.14</v>
      </c>
      <c r="G2">
        <f>MDETERM(A2:D5)</f>
        <v>273166.36909999989</v>
      </c>
      <c r="H2" s="9" t="s">
        <v>2</v>
      </c>
    </row>
    <row r="3" spans="1:17" x14ac:dyDescent="0.3">
      <c r="A3" s="1">
        <v>2.1</v>
      </c>
      <c r="B3" s="1">
        <v>1.5</v>
      </c>
      <c r="C3" s="1">
        <v>19.8</v>
      </c>
      <c r="D3" s="1">
        <v>1.3</v>
      </c>
      <c r="E3" s="2">
        <v>48.44</v>
      </c>
      <c r="G3">
        <f>MAX(A6:D6)</f>
        <v>36.800000000000004</v>
      </c>
      <c r="H3" s="9" t="s">
        <v>3</v>
      </c>
    </row>
    <row r="4" spans="1:17" x14ac:dyDescent="0.3">
      <c r="A4" s="1">
        <v>0.9</v>
      </c>
      <c r="B4" s="1">
        <v>2.5</v>
      </c>
      <c r="C4" s="1">
        <v>1.3</v>
      </c>
      <c r="D4" s="1">
        <v>32.1</v>
      </c>
      <c r="E4" s="2">
        <v>56.12</v>
      </c>
    </row>
    <row r="5" spans="1:17" x14ac:dyDescent="0.3">
      <c r="A5" s="1">
        <v>1.2</v>
      </c>
      <c r="B5" s="1">
        <v>21.2</v>
      </c>
      <c r="C5" s="1">
        <v>1.5</v>
      </c>
      <c r="D5" s="1">
        <v>2.5</v>
      </c>
      <c r="E5" s="2">
        <v>71.540000000000006</v>
      </c>
    </row>
    <row r="6" spans="1:17" x14ac:dyDescent="0.3">
      <c r="A6" cm="1">
        <f t="array" ref="A6">SUM(ABS(A2:A5))</f>
        <v>25.099999999999998</v>
      </c>
      <c r="B6" cm="1">
        <f t="array" ref="B6">SUM(ABS(B2:B5))</f>
        <v>26.4</v>
      </c>
      <c r="C6" cm="1">
        <f t="array" ref="C6">SUM(ABS(C2:C5))</f>
        <v>24.700000000000003</v>
      </c>
      <c r="D6" cm="1">
        <f t="array" ref="D6">SUM(ABS(D2:D5))</f>
        <v>36.800000000000004</v>
      </c>
    </row>
    <row r="7" spans="1:17" x14ac:dyDescent="0.3">
      <c r="A7" s="8" t="s">
        <v>1</v>
      </c>
      <c r="B7" s="8"/>
      <c r="C7" s="8"/>
      <c r="D7" s="8"/>
      <c r="E7" s="8"/>
    </row>
    <row r="8" spans="1:17" x14ac:dyDescent="0.3">
      <c r="A8" s="1">
        <f t="array" ref="A8:D11">MINVERSE(A2:D5)</f>
        <v>4.8513450040215796E-2</v>
      </c>
      <c r="B8" s="1">
        <v>-4.9078442724009557E-3</v>
      </c>
      <c r="C8" s="1">
        <v>-9.8364231616533942E-4</v>
      </c>
      <c r="D8" s="1">
        <v>-2.2827956532662352E-3</v>
      </c>
      <c r="E8" s="3"/>
    </row>
    <row r="9" spans="1:17" x14ac:dyDescent="0.3">
      <c r="A9" s="1">
        <v>-2.2827956532662352E-3</v>
      </c>
      <c r="B9" s="1">
        <v>-3.1571675636406153E-3</v>
      </c>
      <c r="C9" s="1">
        <v>-3.5417866525356253E-3</v>
      </c>
      <c r="D9" s="1">
        <v>4.7940074186826394E-2</v>
      </c>
      <c r="E9" s="3"/>
      <c r="G9">
        <f>MAX(A12:D12)</f>
        <v>6.1138368002710344E-2</v>
      </c>
      <c r="H9" s="9" t="s">
        <v>4</v>
      </c>
    </row>
    <row r="10" spans="1:17" x14ac:dyDescent="0.3">
      <c r="A10" s="1">
        <v>-4.9078442724009548E-3</v>
      </c>
      <c r="B10" s="1">
        <v>5.137618897318353E-2</v>
      </c>
      <c r="C10" s="1">
        <v>-1.6971671934852394E-3</v>
      </c>
      <c r="D10" s="1">
        <v>-3.1571675636406153E-3</v>
      </c>
      <c r="E10" s="3"/>
    </row>
    <row r="11" spans="1:17" x14ac:dyDescent="0.3">
      <c r="A11" s="1">
        <v>-9.8364231616533964E-4</v>
      </c>
      <c r="B11" s="1">
        <v>-1.6971671934852394E-3</v>
      </c>
      <c r="C11" s="1">
        <v>3.1524799441352606E-2</v>
      </c>
      <c r="D11" s="1">
        <v>-3.5417866525356253E-3</v>
      </c>
      <c r="E11" s="3"/>
      <c r="G11">
        <f>G3*G9</f>
        <v>2.2498919424997408</v>
      </c>
      <c r="H11" s="9" t="s">
        <v>5</v>
      </c>
    </row>
    <row r="12" spans="1:17" x14ac:dyDescent="0.3">
      <c r="A12" cm="1">
        <f t="array" ref="A12">SUM(ABS(A8:A11))</f>
        <v>5.6687732282048327E-2</v>
      </c>
      <c r="B12" cm="1">
        <f t="array" ref="B12">SUM(ABS(B8:B11))</f>
        <v>6.1138368002710344E-2</v>
      </c>
      <c r="C12" cm="1">
        <f t="array" ref="C12">SUM(ABS(C8:C11))</f>
        <v>3.7747395603538812E-2</v>
      </c>
      <c r="D12" cm="1">
        <f t="array" ref="D12">SUM(ABS(D8:D11))</f>
        <v>5.6921824056268874E-2</v>
      </c>
    </row>
    <row r="16" spans="1:17" x14ac:dyDescent="0.3">
      <c r="A16" s="1">
        <v>20.9</v>
      </c>
      <c r="B16" s="1">
        <v>1.2</v>
      </c>
      <c r="C16" s="1">
        <v>2.1</v>
      </c>
      <c r="D16" s="1">
        <v>0.9</v>
      </c>
      <c r="E16" s="2">
        <v>34.14</v>
      </c>
      <c r="J16" s="7">
        <v>0</v>
      </c>
      <c r="K16" s="7">
        <f>-B2/A2</f>
        <v>-5.7416267942583733E-2</v>
      </c>
      <c r="L16" s="7">
        <f>-C2/A2</f>
        <v>-0.10047846889952154</v>
      </c>
      <c r="M16" s="7">
        <f>-D2/A2</f>
        <v>-4.3062200956937802E-2</v>
      </c>
      <c r="N16" s="7">
        <f>E2/A2</f>
        <v>1.6334928229665073</v>
      </c>
      <c r="P16" t="s">
        <v>10</v>
      </c>
      <c r="Q16">
        <f>MAX(J20:M20)</f>
        <v>0.22664329491539026</v>
      </c>
    </row>
    <row r="17" spans="1:15" x14ac:dyDescent="0.3">
      <c r="A17" s="1">
        <v>2.1</v>
      </c>
      <c r="B17" s="1">
        <v>1.5</v>
      </c>
      <c r="C17" s="1">
        <v>19.8</v>
      </c>
      <c r="D17" s="1">
        <v>1.3</v>
      </c>
      <c r="E17" s="2">
        <v>48.44</v>
      </c>
      <c r="J17" s="7">
        <f>-A5/B5</f>
        <v>-5.6603773584905662E-2</v>
      </c>
      <c r="K17" s="7">
        <v>0</v>
      </c>
      <c r="L17" s="7">
        <f>-C5/B5</f>
        <v>-7.0754716981132074E-2</v>
      </c>
      <c r="M17" s="7">
        <f>-D5/B5</f>
        <v>-0.11792452830188679</v>
      </c>
      <c r="N17" s="7">
        <f>E5/B5</f>
        <v>3.3745283018867926</v>
      </c>
    </row>
    <row r="18" spans="1:15" x14ac:dyDescent="0.3">
      <c r="A18" s="1">
        <v>0.9</v>
      </c>
      <c r="B18" s="1">
        <v>2.5</v>
      </c>
      <c r="C18" s="1">
        <v>1.3</v>
      </c>
      <c r="D18" s="1">
        <v>32.1</v>
      </c>
      <c r="E18" s="2">
        <v>56.12</v>
      </c>
      <c r="J18" s="7">
        <f>-A3/C3</f>
        <v>-0.10606060606060606</v>
      </c>
      <c r="K18" s="7">
        <f>-B3/C3</f>
        <v>-7.575757575757576E-2</v>
      </c>
      <c r="L18" s="7">
        <v>0</v>
      </c>
      <c r="M18" s="7">
        <f>-D3/C3</f>
        <v>-6.5656565656565663E-2</v>
      </c>
      <c r="N18" s="7">
        <f>E3/C3</f>
        <v>2.4464646464646465</v>
      </c>
    </row>
    <row r="19" spans="1:15" x14ac:dyDescent="0.3">
      <c r="A19" s="1">
        <v>1.2</v>
      </c>
      <c r="B19" s="1">
        <v>21.2</v>
      </c>
      <c r="C19" s="1">
        <v>1.5</v>
      </c>
      <c r="D19" s="1">
        <v>2.5</v>
      </c>
      <c r="E19" s="2">
        <v>71.540000000000006</v>
      </c>
      <c r="J19" s="7">
        <f>-A4/D4</f>
        <v>-2.8037383177570093E-2</v>
      </c>
      <c r="K19" s="7">
        <f>-B4/D4</f>
        <v>-7.7881619937694699E-2</v>
      </c>
      <c r="L19" s="7">
        <f>-C4/D4</f>
        <v>-4.0498442367601244E-2</v>
      </c>
      <c r="M19" s="7">
        <v>0</v>
      </c>
      <c r="N19" s="7">
        <f>E4/D4</f>
        <v>1.7482866043613705</v>
      </c>
    </row>
    <row r="20" spans="1:15" x14ac:dyDescent="0.3">
      <c r="J20" cm="1">
        <f t="array" ref="J20">SUM(ABS(J16:J19))</f>
        <v>0.19070176282308182</v>
      </c>
      <c r="K20" cm="1">
        <f t="array" ref="K20">SUM(ABS(K16:K19))</f>
        <v>0.21105546363785421</v>
      </c>
      <c r="L20" s="12" cm="1">
        <f t="array" ref="L20">SUM(ABS(L16:L19))</f>
        <v>0.21173162824825487</v>
      </c>
      <c r="M20" s="10" cm="1">
        <f t="array" ref="M20">SUM(ABS(M16:M19))</f>
        <v>0.22664329491539026</v>
      </c>
      <c r="N20" cm="1">
        <f t="array" ref="N20">SUM(ABS(N16:N19))</f>
        <v>9.2027723756793165</v>
      </c>
    </row>
    <row r="21" spans="1:15" x14ac:dyDescent="0.3">
      <c r="A21" s="7">
        <f>A16</f>
        <v>20.9</v>
      </c>
      <c r="B21" s="7">
        <f t="shared" ref="B21:E21" si="0">B16</f>
        <v>1.2</v>
      </c>
      <c r="C21" s="7">
        <f t="shared" si="0"/>
        <v>2.1</v>
      </c>
      <c r="D21" s="7">
        <f t="shared" si="0"/>
        <v>0.9</v>
      </c>
      <c r="E21" s="7">
        <f t="shared" si="0"/>
        <v>34.14</v>
      </c>
    </row>
    <row r="22" spans="1:15" x14ac:dyDescent="0.3">
      <c r="A22" s="7">
        <f>A17 - ($A$17/$A$16)*A16</f>
        <v>0</v>
      </c>
      <c r="B22" s="7">
        <f t="shared" ref="B22:E22" si="1">B17 - ($A$17/$A$16)*B16</f>
        <v>1.3794258373205741</v>
      </c>
      <c r="C22" s="7">
        <f t="shared" si="1"/>
        <v>19.588995215311005</v>
      </c>
      <c r="D22" s="7">
        <f t="shared" si="1"/>
        <v>1.2095693779904306</v>
      </c>
      <c r="E22" s="7">
        <f t="shared" si="1"/>
        <v>45.009665071770335</v>
      </c>
      <c r="I22" s="11">
        <v>0</v>
      </c>
      <c r="J22" s="7">
        <v>0</v>
      </c>
      <c r="K22" s="7">
        <v>0</v>
      </c>
      <c r="L22" s="7">
        <v>0</v>
      </c>
      <c r="M22" s="7">
        <v>0</v>
      </c>
      <c r="N22" s="7">
        <f>N16</f>
        <v>1.6334928229665073</v>
      </c>
    </row>
    <row r="23" spans="1:15" x14ac:dyDescent="0.3">
      <c r="A23" s="7">
        <f>A18 - ($A$18/$A$16)*A16</f>
        <v>0</v>
      </c>
      <c r="B23" s="7">
        <f t="shared" ref="B23:E23" si="2">B18 - ($A$18/$A$16)*B16</f>
        <v>2.4483253588516747</v>
      </c>
      <c r="C23" s="7">
        <f t="shared" si="2"/>
        <v>1.2095693779904306</v>
      </c>
      <c r="D23" s="7">
        <f t="shared" si="2"/>
        <v>32.061244019138755</v>
      </c>
      <c r="E23" s="7">
        <f t="shared" si="2"/>
        <v>54.649856459330138</v>
      </c>
      <c r="I23" s="11">
        <v>1</v>
      </c>
      <c r="J23" s="7">
        <f>N16</f>
        <v>1.6334928229665073</v>
      </c>
      <c r="K23" s="7">
        <f>N17</f>
        <v>3.3745283018867926</v>
      </c>
      <c r="L23" s="7">
        <f>N18</f>
        <v>2.4464646464646465</v>
      </c>
      <c r="M23" s="7">
        <f>N19</f>
        <v>1.7482866043613705</v>
      </c>
      <c r="N23" s="7">
        <f t="shared" ref="N23:N25" si="3">N17</f>
        <v>3.3745283018867926</v>
      </c>
    </row>
    <row r="24" spans="1:15" x14ac:dyDescent="0.3">
      <c r="A24" s="7">
        <f>A19 - ($A$19/$A$16)*A16</f>
        <v>0</v>
      </c>
      <c r="B24" s="7">
        <f t="shared" ref="B24:E24" si="4">B19 - ($A$19/$A$16)*B16</f>
        <v>21.131100478468898</v>
      </c>
      <c r="C24" s="7">
        <f t="shared" si="4"/>
        <v>1.3794258373205741</v>
      </c>
      <c r="D24" s="7">
        <f t="shared" si="4"/>
        <v>2.4483253588516747</v>
      </c>
      <c r="E24" s="7">
        <f t="shared" si="4"/>
        <v>69.579808612440203</v>
      </c>
      <c r="I24" s="11">
        <v>2</v>
      </c>
      <c r="J24" s="7">
        <f>$N$16 + $K$16*K23 + $L$16*L23 + $M$16*M23</f>
        <v>1.1186379108246345</v>
      </c>
      <c r="K24" s="7">
        <f>$N$17 + $J$17*J23 + $L$17*L23 + $M$17*M23</f>
        <v>2.902801657162255</v>
      </c>
      <c r="L24" s="7">
        <f>$N$18 + $J$18*J23 + $K$18*K23 + $M$18*M23</f>
        <v>1.9027828299631495</v>
      </c>
      <c r="M24" s="7">
        <f>$N$19 + $J$19*J23 + $K$19*K23 + $L$19*L23</f>
        <v>1.3405960020002841</v>
      </c>
      <c r="N24" s="7">
        <f>ABS(J24-J23) + ABS(K24-K23) + ABS(L24-L23) + ABS(M24-M23)</f>
        <v>1.9379539757289939</v>
      </c>
    </row>
    <row r="25" spans="1:15" x14ac:dyDescent="0.3">
      <c r="I25" s="11">
        <v>3</v>
      </c>
      <c r="J25" s="7">
        <f t="shared" ref="J25:J30" si="5">$N$16 + $K$16*K24 + $L$16*L24 + $M$16*M24</f>
        <v>1.2179070653915036</v>
      </c>
      <c r="K25" s="7">
        <f t="shared" ref="K25:K30" si="6">$N$17 + $J$17*J24 + $L$17*L24 + $M$17*M24</f>
        <v>3.0184891630691042</v>
      </c>
      <c r="L25" s="7">
        <f t="shared" ref="L25:L30" si="7">$N$18 + $J$18*J24 + $K$18*K24 + $M$18*M24</f>
        <v>2.0198930858042687</v>
      </c>
      <c r="M25" s="7">
        <f t="shared" ref="M25:M30" si="8">$N$19 + $J$19*J24 + $K$19*K24 + $L$19*L24</f>
        <v>1.413788288423679</v>
      </c>
      <c r="N25" s="7">
        <f t="shared" ref="N25:N30" si="9">ABS(J25-J24) + ABS(K25-K24) + ABS(L25-L24) + ABS(M25-M24)</f>
        <v>0.40525920273823246</v>
      </c>
    </row>
    <row r="26" spans="1:15" x14ac:dyDescent="0.3">
      <c r="A26" s="7">
        <f>A21</f>
        <v>20.9</v>
      </c>
      <c r="B26" s="7">
        <f t="shared" ref="B26:E26" si="10">B21</f>
        <v>1.2</v>
      </c>
      <c r="C26" s="7">
        <f t="shared" si="10"/>
        <v>2.1</v>
      </c>
      <c r="D26" s="7">
        <f t="shared" si="10"/>
        <v>0.9</v>
      </c>
      <c r="E26" s="7">
        <f t="shared" si="10"/>
        <v>34.14</v>
      </c>
      <c r="I26" s="14">
        <v>4</v>
      </c>
      <c r="J26" s="7">
        <f t="shared" si="5"/>
        <v>1.1963458404089378</v>
      </c>
      <c r="K26" s="7">
        <f t="shared" si="6"/>
        <v>2.9959528854605946</v>
      </c>
      <c r="L26" s="7">
        <f t="shared" si="7"/>
        <v>1.9957947799557274</v>
      </c>
      <c r="M26" s="7">
        <f t="shared" si="8"/>
        <v>1.3972523277859603</v>
      </c>
      <c r="N26" s="7">
        <f t="shared" si="9"/>
        <v>8.4731769077335484E-2</v>
      </c>
    </row>
    <row r="27" spans="1:15" x14ac:dyDescent="0.3">
      <c r="A27" s="7">
        <f>A24</f>
        <v>0</v>
      </c>
      <c r="B27" s="7">
        <f t="shared" ref="B27:E27" si="11">B24</f>
        <v>21.131100478468898</v>
      </c>
      <c r="C27" s="7">
        <f t="shared" si="11"/>
        <v>1.3794258373205741</v>
      </c>
      <c r="D27" s="7">
        <f t="shared" si="11"/>
        <v>2.4483253588516747</v>
      </c>
      <c r="E27" s="7">
        <f t="shared" si="11"/>
        <v>69.579808612440203</v>
      </c>
      <c r="I27" s="14">
        <v>5</v>
      </c>
      <c r="J27" s="7">
        <f t="shared" si="5"/>
        <v>1.200773225097268</v>
      </c>
      <c r="K27" s="7">
        <f t="shared" si="6"/>
        <v>3.0008283963259808</v>
      </c>
      <c r="L27" s="7">
        <f t="shared" si="7"/>
        <v>2.0008745646883126</v>
      </c>
      <c r="M27" s="7">
        <f t="shared" si="8"/>
        <v>1.4005879537706547</v>
      </c>
      <c r="N27" s="7">
        <f t="shared" si="9"/>
        <v>1.771830627099602E-2</v>
      </c>
    </row>
    <row r="28" spans="1:15" x14ac:dyDescent="0.3">
      <c r="A28" s="7">
        <f>A23</f>
        <v>0</v>
      </c>
      <c r="B28" s="7">
        <f t="shared" ref="B28:E28" si="12">B23</f>
        <v>2.4483253588516747</v>
      </c>
      <c r="C28" s="7">
        <f t="shared" si="12"/>
        <v>1.2095693779904306</v>
      </c>
      <c r="D28" s="7">
        <f t="shared" si="12"/>
        <v>32.061244019138755</v>
      </c>
      <c r="E28" s="7">
        <f t="shared" si="12"/>
        <v>54.649856459330138</v>
      </c>
      <c r="I28" s="14">
        <v>6</v>
      </c>
      <c r="J28" s="7">
        <f t="shared" si="5"/>
        <v>1.1998392430703244</v>
      </c>
      <c r="K28" s="7">
        <f t="shared" si="6"/>
        <v>2.9998250187935933</v>
      </c>
      <c r="L28" s="7">
        <f t="shared" si="7"/>
        <v>1.9998166309547938</v>
      </c>
      <c r="M28" s="7">
        <f t="shared" si="8"/>
        <v>1.3998783854362209</v>
      </c>
      <c r="N28" s="7">
        <f t="shared" si="9"/>
        <v>3.7048616272836732E-3</v>
      </c>
    </row>
    <row r="29" spans="1:15" x14ac:dyDescent="0.3">
      <c r="A29" s="7">
        <f>A22</f>
        <v>0</v>
      </c>
      <c r="B29" s="7">
        <f t="shared" ref="B29:E29" si="13">B22</f>
        <v>1.3794258373205741</v>
      </c>
      <c r="C29" s="7">
        <f t="shared" si="13"/>
        <v>19.588995215311005</v>
      </c>
      <c r="D29" s="7">
        <f t="shared" si="13"/>
        <v>1.2095693779904306</v>
      </c>
      <c r="E29" s="7">
        <f t="shared" si="13"/>
        <v>45.009665071770335</v>
      </c>
      <c r="I29" s="14">
        <v>7</v>
      </c>
      <c r="J29" s="7">
        <f t="shared" si="5"/>
        <v>1.2000337083995227</v>
      </c>
      <c r="K29" s="7">
        <f t="shared" si="6"/>
        <v>3.000036415013815</v>
      </c>
      <c r="L29" s="7">
        <f t="shared" si="7"/>
        <v>2.0000382909239818</v>
      </c>
      <c r="M29" s="7">
        <f t="shared" si="8"/>
        <v>1.4000255611841583</v>
      </c>
      <c r="N29" s="7">
        <f t="shared" si="9"/>
        <v>7.7469726654544324E-4</v>
      </c>
    </row>
    <row r="30" spans="1:15" x14ac:dyDescent="0.3">
      <c r="J30" s="13"/>
      <c r="K30" s="13"/>
      <c r="L30" s="13"/>
      <c r="M30" s="13"/>
      <c r="N30" s="13"/>
      <c r="O30" s="13"/>
    </row>
    <row r="31" spans="1:15" x14ac:dyDescent="0.3">
      <c r="A31" s="7">
        <f>A26</f>
        <v>20.9</v>
      </c>
      <c r="B31" s="7">
        <f t="shared" ref="B31:E31" si="14">B26</f>
        <v>1.2</v>
      </c>
      <c r="C31" s="7">
        <f t="shared" si="14"/>
        <v>2.1</v>
      </c>
      <c r="D31" s="7">
        <f t="shared" si="14"/>
        <v>0.9</v>
      </c>
      <c r="E31" s="7">
        <f t="shared" si="14"/>
        <v>34.14</v>
      </c>
      <c r="J31" s="13"/>
      <c r="K31" s="13"/>
      <c r="L31" s="13"/>
      <c r="M31" s="13"/>
      <c r="N31" s="13"/>
      <c r="O31" s="13"/>
    </row>
    <row r="32" spans="1:15" x14ac:dyDescent="0.3">
      <c r="A32" s="7">
        <f>A27</f>
        <v>0</v>
      </c>
      <c r="B32" s="7">
        <f t="shared" ref="B32:E32" si="15">B27</f>
        <v>21.131100478468898</v>
      </c>
      <c r="C32" s="7">
        <f t="shared" si="15"/>
        <v>1.3794258373205741</v>
      </c>
      <c r="D32" s="7">
        <f t="shared" si="15"/>
        <v>2.4483253588516747</v>
      </c>
      <c r="E32" s="7">
        <f t="shared" si="15"/>
        <v>69.579808612440203</v>
      </c>
      <c r="J32" s="13"/>
      <c r="K32" s="13"/>
      <c r="L32" s="13"/>
      <c r="M32" s="13"/>
      <c r="N32" s="13"/>
      <c r="O32" s="13"/>
    </row>
    <row r="33" spans="1:15" x14ac:dyDescent="0.3">
      <c r="A33" s="7">
        <f>A28 - ($B$28/$B$27)*A27</f>
        <v>0</v>
      </c>
      <c r="B33" s="7">
        <f t="shared" ref="B33:E33" si="16">B28 - ($B$28/$B$27)*B27</f>
        <v>0</v>
      </c>
      <c r="C33" s="7">
        <f t="shared" si="16"/>
        <v>1.0497441354949733</v>
      </c>
      <c r="D33" s="7">
        <f t="shared" si="16"/>
        <v>31.777572230776197</v>
      </c>
      <c r="E33" s="7">
        <f t="shared" si="16"/>
        <v>46.588089394076619</v>
      </c>
      <c r="J33" s="13"/>
      <c r="K33" s="13"/>
      <c r="L33" s="13"/>
      <c r="M33" s="13"/>
      <c r="N33" s="13"/>
      <c r="O33" s="13"/>
    </row>
    <row r="34" spans="1:15" x14ac:dyDescent="0.3">
      <c r="A34" s="7">
        <f>A29 - ($B$29/$B$27)*A27</f>
        <v>0</v>
      </c>
      <c r="B34" s="7">
        <f t="shared" ref="B34:E34" si="17">B29 - ($B$29/$B$27)*B27</f>
        <v>0</v>
      </c>
      <c r="C34" s="7">
        <f t="shared" si="17"/>
        <v>19.498947106240376</v>
      </c>
      <c r="D34" s="7">
        <f t="shared" si="17"/>
        <v>1.0497441354949733</v>
      </c>
      <c r="E34" s="7">
        <f t="shared" si="17"/>
        <v>40.467536002173716</v>
      </c>
      <c r="J34" s="13"/>
      <c r="K34" s="13"/>
      <c r="L34" s="13"/>
      <c r="M34" s="13"/>
      <c r="N34" s="13"/>
      <c r="O34" s="13"/>
    </row>
    <row r="35" spans="1:15" x14ac:dyDescent="0.3">
      <c r="J35" s="13"/>
      <c r="K35" s="13"/>
      <c r="L35" s="13"/>
      <c r="M35" s="13"/>
      <c r="N35" s="13"/>
      <c r="O35" s="13"/>
    </row>
    <row r="36" spans="1:15" x14ac:dyDescent="0.3">
      <c r="A36" s="7">
        <f>A31</f>
        <v>20.9</v>
      </c>
      <c r="B36" s="7">
        <f t="shared" ref="B36:E36" si="18">B31</f>
        <v>1.2</v>
      </c>
      <c r="C36" s="7">
        <f t="shared" si="18"/>
        <v>2.1</v>
      </c>
      <c r="D36" s="7">
        <f t="shared" si="18"/>
        <v>0.9</v>
      </c>
      <c r="E36" s="7">
        <f t="shared" si="18"/>
        <v>34.14</v>
      </c>
      <c r="J36" s="13"/>
      <c r="K36" s="13"/>
      <c r="L36" s="13"/>
      <c r="M36" s="13"/>
      <c r="N36" s="13"/>
      <c r="O36" s="13"/>
    </row>
    <row r="37" spans="1:15" x14ac:dyDescent="0.3">
      <c r="A37" s="7">
        <f>A32</f>
        <v>0</v>
      </c>
      <c r="B37" s="7">
        <f t="shared" ref="B37:E37" si="19">B32</f>
        <v>21.131100478468898</v>
      </c>
      <c r="C37" s="7">
        <f t="shared" si="19"/>
        <v>1.3794258373205741</v>
      </c>
      <c r="D37" s="7">
        <f t="shared" si="19"/>
        <v>2.4483253588516747</v>
      </c>
      <c r="E37" s="7">
        <f t="shared" si="19"/>
        <v>69.579808612440203</v>
      </c>
    </row>
    <row r="38" spans="1:15" x14ac:dyDescent="0.3">
      <c r="A38" s="7">
        <f>A34</f>
        <v>0</v>
      </c>
      <c r="B38" s="7">
        <f t="shared" ref="B38:E38" si="20">B34</f>
        <v>0</v>
      </c>
      <c r="C38" s="7">
        <f t="shared" si="20"/>
        <v>19.498947106240376</v>
      </c>
      <c r="D38" s="7">
        <f t="shared" si="20"/>
        <v>1.0497441354949733</v>
      </c>
      <c r="E38" s="7">
        <f t="shared" si="20"/>
        <v>40.467536002173716</v>
      </c>
    </row>
    <row r="39" spans="1:15" x14ac:dyDescent="0.3">
      <c r="A39" s="7">
        <f>A33</f>
        <v>0</v>
      </c>
      <c r="B39" s="7">
        <f t="shared" ref="B39:E39" si="21">B33</f>
        <v>0</v>
      </c>
      <c r="C39" s="7">
        <f t="shared" si="21"/>
        <v>1.0497441354949733</v>
      </c>
      <c r="D39" s="7">
        <f t="shared" si="21"/>
        <v>31.777572230776197</v>
      </c>
      <c r="E39" s="7">
        <f t="shared" si="21"/>
        <v>46.588089394076619</v>
      </c>
    </row>
    <row r="41" spans="1:15" x14ac:dyDescent="0.3">
      <c r="A41" s="7">
        <f>A36</f>
        <v>20.9</v>
      </c>
      <c r="B41" s="7">
        <f t="shared" ref="B41:E41" si="22">B36</f>
        <v>1.2</v>
      </c>
      <c r="C41" s="7">
        <f t="shared" si="22"/>
        <v>2.1</v>
      </c>
      <c r="D41" s="7">
        <f t="shared" si="22"/>
        <v>0.9</v>
      </c>
      <c r="E41" s="7">
        <f t="shared" si="22"/>
        <v>34.14</v>
      </c>
      <c r="G41" s="7">
        <f>(E41 - D41 * G44 - C41 * G43 - B41 * G42) / A41</f>
        <v>1.2000000000000004</v>
      </c>
      <c r="H41" s="7" t="s">
        <v>7</v>
      </c>
    </row>
    <row r="42" spans="1:15" x14ac:dyDescent="0.3">
      <c r="A42" s="7">
        <f>A37</f>
        <v>0</v>
      </c>
      <c r="B42" s="7">
        <f t="shared" ref="B42:E42" si="23">B37</f>
        <v>21.131100478468898</v>
      </c>
      <c r="C42" s="7">
        <f t="shared" si="23"/>
        <v>1.3794258373205741</v>
      </c>
      <c r="D42" s="7">
        <f t="shared" si="23"/>
        <v>2.4483253588516747</v>
      </c>
      <c r="E42" s="7">
        <f t="shared" si="23"/>
        <v>69.579808612440203</v>
      </c>
      <c r="G42" s="7">
        <f>(E42 - D42 * G44 - C42 * G43) / B42</f>
        <v>3.0000000000000013</v>
      </c>
      <c r="H42" s="7" t="s">
        <v>8</v>
      </c>
    </row>
    <row r="43" spans="1:15" x14ac:dyDescent="0.3">
      <c r="A43" s="7">
        <f>A39</f>
        <v>0</v>
      </c>
      <c r="B43" s="7">
        <f t="shared" ref="B43:E43" si="24">B39</f>
        <v>0</v>
      </c>
      <c r="C43" s="7">
        <f t="shared" si="24"/>
        <v>1.0497441354949733</v>
      </c>
      <c r="D43" s="7">
        <f t="shared" si="24"/>
        <v>31.777572230776197</v>
      </c>
      <c r="E43" s="7">
        <f t="shared" si="24"/>
        <v>46.588089394076619</v>
      </c>
      <c r="G43" s="7">
        <f>(E43 - D43 * G44) / C43</f>
        <v>1.9999999999999978</v>
      </c>
      <c r="H43" s="7" t="s">
        <v>9</v>
      </c>
    </row>
    <row r="44" spans="1:15" x14ac:dyDescent="0.3">
      <c r="A44" s="7">
        <f>A39 - ($C$39 / $C$38) * A38</f>
        <v>0</v>
      </c>
      <c r="B44" s="7">
        <f t="shared" ref="B44:E44" si="25">B39 - ($C$39 / $C$38) * B38</f>
        <v>0</v>
      </c>
      <c r="C44" s="7">
        <f t="shared" si="25"/>
        <v>0</v>
      </c>
      <c r="D44" s="7">
        <f t="shared" si="25"/>
        <v>31.721058269073442</v>
      </c>
      <c r="E44" s="7">
        <f t="shared" si="25"/>
        <v>44.409481576702817</v>
      </c>
      <c r="G44" s="7">
        <f>E44/D44</f>
        <v>1.4</v>
      </c>
      <c r="H44" s="7" t="s">
        <v>6</v>
      </c>
    </row>
  </sheetData>
  <mergeCells count="1">
    <mergeCell ref="A7:E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Маша Хомиш</cp:lastModifiedBy>
  <dcterms:created xsi:type="dcterms:W3CDTF">2015-06-05T18:17:20Z</dcterms:created>
  <dcterms:modified xsi:type="dcterms:W3CDTF">2026-05-05T23:38:02Z</dcterms:modified>
</cp:coreProperties>
</file>