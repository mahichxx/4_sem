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B5DC9BAD-7654-4EAC-A0F2-7B60C0D4A602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5" i="1" l="1"/>
  <c r="N44" i="1"/>
  <c r="N43" i="1"/>
  <c r="L45" i="1"/>
  <c r="K45" i="1"/>
  <c r="J45" i="1"/>
  <c r="L44" i="1"/>
  <c r="K44" i="1"/>
  <c r="J44" i="1"/>
  <c r="L43" i="1"/>
  <c r="J43" i="1"/>
  <c r="K43" i="1"/>
  <c r="I35" i="1"/>
  <c r="I25" i="1"/>
  <c r="H25" i="1"/>
  <c r="D44" i="1"/>
  <c r="C35" i="1"/>
  <c r="D3" i="1"/>
  <c r="D4" i="1"/>
  <c r="D27" i="1" s="1"/>
  <c r="D5" i="1"/>
  <c r="D6" i="1"/>
  <c r="D29" i="1" s="1"/>
  <c r="D7" i="1"/>
  <c r="D8" i="1"/>
  <c r="D31" i="1" s="1"/>
  <c r="D9" i="1"/>
  <c r="D32" i="1" s="1"/>
  <c r="D10" i="1"/>
  <c r="D33" i="1" s="1"/>
  <c r="D11" i="1"/>
  <c r="D34" i="1" s="1"/>
  <c r="D2" i="1"/>
  <c r="D25" i="1" s="1"/>
  <c r="B35" i="1"/>
  <c r="E48" i="1"/>
  <c r="E49" i="1"/>
  <c r="E50" i="1"/>
  <c r="E51" i="1"/>
  <c r="D48" i="1"/>
  <c r="D49" i="1"/>
  <c r="D50" i="1"/>
  <c r="D52" i="1"/>
  <c r="C48" i="1"/>
  <c r="G48" i="1" s="1"/>
  <c r="C49" i="1"/>
  <c r="C50" i="1"/>
  <c r="C44" i="1"/>
  <c r="A26" i="1"/>
  <c r="F45" i="1" s="1"/>
  <c r="A27" i="1"/>
  <c r="F46" i="1" s="1"/>
  <c r="A28" i="1"/>
  <c r="C47" i="1" s="1"/>
  <c r="G47" i="1" s="1"/>
  <c r="A29" i="1"/>
  <c r="A30" i="1"/>
  <c r="A31" i="1"/>
  <c r="A32" i="1"/>
  <c r="C51" i="1" s="1"/>
  <c r="A33" i="1"/>
  <c r="E52" i="1" s="1"/>
  <c r="A34" i="1"/>
  <c r="E53" i="1" s="1"/>
  <c r="B26" i="1"/>
  <c r="B27" i="1"/>
  <c r="B28" i="1"/>
  <c r="B29" i="1"/>
  <c r="F48" i="1" s="1"/>
  <c r="B30" i="1"/>
  <c r="F49" i="1" s="1"/>
  <c r="B31" i="1"/>
  <c r="F50" i="1" s="1"/>
  <c r="B32" i="1"/>
  <c r="F51" i="1" s="1"/>
  <c r="B33" i="1"/>
  <c r="F52" i="1" s="1"/>
  <c r="B34" i="1"/>
  <c r="B25" i="1"/>
  <c r="A25" i="1"/>
  <c r="F3" i="1"/>
  <c r="F4" i="1"/>
  <c r="F5" i="1"/>
  <c r="F6" i="1"/>
  <c r="F7" i="1"/>
  <c r="F8" i="1"/>
  <c r="F9" i="1"/>
  <c r="F10" i="1"/>
  <c r="F11" i="1"/>
  <c r="E3" i="1"/>
  <c r="E4" i="1"/>
  <c r="E5" i="1"/>
  <c r="E6" i="1"/>
  <c r="E7" i="1"/>
  <c r="E8" i="1"/>
  <c r="E9" i="1"/>
  <c r="E10" i="1"/>
  <c r="E11" i="1"/>
  <c r="E2" i="1"/>
  <c r="F2" i="1"/>
  <c r="D26" i="1"/>
  <c r="D28" i="1"/>
  <c r="D30" i="1"/>
  <c r="C3" i="1"/>
  <c r="C26" i="1" s="1"/>
  <c r="E26" i="1" s="1"/>
  <c r="C4" i="1"/>
  <c r="C27" i="1" s="1"/>
  <c r="E27" i="1" s="1"/>
  <c r="C5" i="1"/>
  <c r="C28" i="1" s="1"/>
  <c r="C6" i="1"/>
  <c r="C29" i="1" s="1"/>
  <c r="C7" i="1"/>
  <c r="C30" i="1" s="1"/>
  <c r="C8" i="1"/>
  <c r="C31" i="1" s="1"/>
  <c r="C9" i="1"/>
  <c r="C32" i="1" s="1"/>
  <c r="C10" i="1"/>
  <c r="C33" i="1" s="1"/>
  <c r="C11" i="1"/>
  <c r="C34" i="1" s="1"/>
  <c r="C2" i="1"/>
  <c r="C25" i="1" s="1"/>
  <c r="G51" i="1" l="1"/>
  <c r="G50" i="1"/>
  <c r="G49" i="1"/>
  <c r="F30" i="1"/>
  <c r="F29" i="1"/>
  <c r="F28" i="1"/>
  <c r="G44" i="1"/>
  <c r="A35" i="1"/>
  <c r="E44" i="1"/>
  <c r="F44" i="1"/>
  <c r="E32" i="1"/>
  <c r="F32" i="1"/>
  <c r="F25" i="1"/>
  <c r="E25" i="1"/>
  <c r="F34" i="1"/>
  <c r="E34" i="1"/>
  <c r="F31" i="1"/>
  <c r="E31" i="1"/>
  <c r="E54" i="1"/>
  <c r="D35" i="1"/>
  <c r="F33" i="1"/>
  <c r="E33" i="1"/>
  <c r="F27" i="1"/>
  <c r="D53" i="1"/>
  <c r="E46" i="1"/>
  <c r="D51" i="1"/>
  <c r="F53" i="1"/>
  <c r="E30" i="1"/>
  <c r="C46" i="1"/>
  <c r="G46" i="1" s="1"/>
  <c r="C45" i="1"/>
  <c r="F26" i="1"/>
  <c r="E45" i="1"/>
  <c r="E29" i="1"/>
  <c r="E28" i="1"/>
  <c r="D47" i="1"/>
  <c r="C53" i="1"/>
  <c r="G53" i="1" s="1"/>
  <c r="D46" i="1"/>
  <c r="C52" i="1"/>
  <c r="G52" i="1" s="1"/>
  <c r="D45" i="1"/>
  <c r="F47" i="1"/>
  <c r="E47" i="1"/>
  <c r="F54" i="1" l="1"/>
  <c r="D54" i="1"/>
  <c r="E35" i="1"/>
  <c r="F35" i="1"/>
  <c r="C54" i="1"/>
  <c r="G45" i="1"/>
  <c r="G54" i="1" s="1"/>
  <c r="B40" i="1" l="1"/>
  <c r="B41" i="1" s="1"/>
  <c r="B42" i="1" s="1"/>
</calcChain>
</file>

<file path=xl/sharedStrings.xml><?xml version="1.0" encoding="utf-8"?>
<sst xmlns="http://schemas.openxmlformats.org/spreadsheetml/2006/main" count="23" uniqueCount="17">
  <si>
    <t>х</t>
  </si>
  <si>
    <t>у</t>
  </si>
  <si>
    <t>выбираем законы</t>
  </si>
  <si>
    <t>t</t>
  </si>
  <si>
    <t>z</t>
  </si>
  <si>
    <t>t^2</t>
  </si>
  <si>
    <t>t*z</t>
  </si>
  <si>
    <t>n</t>
  </si>
  <si>
    <t>a1</t>
  </si>
  <si>
    <t>a0</t>
  </si>
  <si>
    <t>a</t>
  </si>
  <si>
    <t>x2</t>
  </si>
  <si>
    <t>x3</t>
  </si>
  <si>
    <t>x4</t>
  </si>
  <si>
    <t>xy</t>
  </si>
  <si>
    <t>x2y</t>
  </si>
  <si>
    <t>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</si>
</sst>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charset val="204"/>
      <scheme val="minor"/>
    </font>
    <font>
      <i/>
      <sz val="11"/>
      <color theme="1"/>
      <name val="KaTeX_Math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1" applyFill="1"/>
    <xf numFmtId="0" fontId="1" fillId="0" borderId="0" xfId="0" applyFont="1"/>
    <xf numFmtId="164" fontId="1" fillId="2" borderId="0" xfId="0" applyNumberFormat="1" applyFont="1" applyFill="1"/>
    <xf numFmtId="164" fontId="1" fillId="0" borderId="0" xfId="0" applyNumberFormat="1" applyFont="1"/>
    <xf numFmtId="2" fontId="1" fillId="0" borderId="0" xfId="0" applyNumberFormat="1" applyFont="1"/>
    <xf numFmtId="0" fontId="1" fillId="4" borderId="0" xfId="0" applyFont="1" applyFill="1"/>
    <xf numFmtId="164" fontId="1" fillId="4" borderId="0" xfId="0" applyNumberFormat="1" applyFont="1" applyFill="1"/>
    <xf numFmtId="2" fontId="1" fillId="4" borderId="0" xfId="0" applyNumberFormat="1" applyFont="1" applyFill="1"/>
    <xf numFmtId="0" fontId="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928258967629044E-2"/>
          <c:y val="7.407407407407407E-2"/>
          <c:w val="0.88084251968503935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у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Лист1!$A$2:$A$11</c:f>
              <c:numCache>
                <c:formatCode>General</c:formatCode>
                <c:ptCount val="10"/>
                <c:pt idx="0">
                  <c:v>0.2</c:v>
                </c:pt>
                <c:pt idx="1">
                  <c:v>1.1000000000000001</c:v>
                </c:pt>
                <c:pt idx="2">
                  <c:v>1.8</c:v>
                </c:pt>
                <c:pt idx="3">
                  <c:v>2.6</c:v>
                </c:pt>
                <c:pt idx="4">
                  <c:v>3</c:v>
                </c:pt>
                <c:pt idx="5">
                  <c:v>3.4</c:v>
                </c:pt>
                <c:pt idx="6">
                  <c:v>3.6</c:v>
                </c:pt>
                <c:pt idx="7">
                  <c:v>3.7</c:v>
                </c:pt>
                <c:pt idx="8">
                  <c:v>3.8</c:v>
                </c:pt>
                <c:pt idx="9">
                  <c:v>3.9</c:v>
                </c:pt>
              </c:numCache>
            </c:numRef>
          </c:xVal>
          <c:yVal>
            <c:numRef>
              <c:f>Лист1!$B$2:$B$11</c:f>
              <c:numCache>
                <c:formatCode>General</c:formatCode>
                <c:ptCount val="10"/>
                <c:pt idx="0">
                  <c:v>-0.41</c:v>
                </c:pt>
                <c:pt idx="1">
                  <c:v>-0.48</c:v>
                </c:pt>
                <c:pt idx="2">
                  <c:v>-0.76</c:v>
                </c:pt>
                <c:pt idx="3">
                  <c:v>-1.03</c:v>
                </c:pt>
                <c:pt idx="4">
                  <c:v>-1.62</c:v>
                </c:pt>
                <c:pt idx="5">
                  <c:v>-2.4700000000000002</c:v>
                </c:pt>
                <c:pt idx="6">
                  <c:v>-3.83</c:v>
                </c:pt>
                <c:pt idx="7">
                  <c:v>-7.34</c:v>
                </c:pt>
                <c:pt idx="8">
                  <c:v>-10.130000000000001</c:v>
                </c:pt>
                <c:pt idx="9">
                  <c:v>-14.81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07-4A77-A4CA-52CBE6475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519631"/>
        <c:axId val="1440510895"/>
      </c:scatterChart>
      <c:valAx>
        <c:axId val="144051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0510895"/>
        <c:crosses val="autoZero"/>
        <c:crossBetween val="midCat"/>
      </c:valAx>
      <c:valAx>
        <c:axId val="144051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051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логарифмическая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6722222222222219E-2"/>
          <c:y val="0.15782407407407409"/>
          <c:w val="0.87815966754155728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Лист1!$F$1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Лист1!$E$2:$E$11</c:f>
              <c:numCache>
                <c:formatCode>0.000</c:formatCode>
                <c:ptCount val="10"/>
                <c:pt idx="0">
                  <c:v>-1.6094379124341003</c:v>
                </c:pt>
                <c:pt idx="1">
                  <c:v>9.5310179804324935E-2</c:v>
                </c:pt>
                <c:pt idx="2">
                  <c:v>0.58778666490211906</c:v>
                </c:pt>
                <c:pt idx="3">
                  <c:v>0.95551144502743635</c:v>
                </c:pt>
                <c:pt idx="4">
                  <c:v>1.0986122886681098</c:v>
                </c:pt>
                <c:pt idx="5">
                  <c:v>1.2237754316221157</c:v>
                </c:pt>
                <c:pt idx="6">
                  <c:v>1.2809338454620642</c:v>
                </c:pt>
                <c:pt idx="7">
                  <c:v>1.3083328196501789</c:v>
                </c:pt>
                <c:pt idx="8">
                  <c:v>1.33500106673234</c:v>
                </c:pt>
                <c:pt idx="9">
                  <c:v>1.3609765531356006</c:v>
                </c:pt>
              </c:numCache>
            </c:numRef>
          </c:xVal>
          <c:yVal>
            <c:numRef>
              <c:f>Лист1!$F$2:$F$11</c:f>
              <c:numCache>
                <c:formatCode>0.00</c:formatCode>
                <c:ptCount val="10"/>
                <c:pt idx="0">
                  <c:v>-0.41</c:v>
                </c:pt>
                <c:pt idx="1">
                  <c:v>-0.48</c:v>
                </c:pt>
                <c:pt idx="2">
                  <c:v>-0.76</c:v>
                </c:pt>
                <c:pt idx="3">
                  <c:v>-1.03</c:v>
                </c:pt>
                <c:pt idx="4">
                  <c:v>-1.62</c:v>
                </c:pt>
                <c:pt idx="5">
                  <c:v>-2.4700000000000002</c:v>
                </c:pt>
                <c:pt idx="6">
                  <c:v>-3.83</c:v>
                </c:pt>
                <c:pt idx="7">
                  <c:v>-7.34</c:v>
                </c:pt>
                <c:pt idx="8">
                  <c:v>-10.130000000000001</c:v>
                </c:pt>
                <c:pt idx="9">
                  <c:v>-14.81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52-4211-A562-0F9A78F21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581311"/>
        <c:axId val="1488589215"/>
      </c:scatterChart>
      <c:valAx>
        <c:axId val="148858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8589215"/>
        <c:crosses val="autoZero"/>
        <c:crossBetween val="midCat"/>
      </c:valAx>
      <c:valAx>
        <c:axId val="148858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8581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686132485052662E-2"/>
          <c:y val="2.4841479983119689E-2"/>
          <c:w val="0.87874409354080485"/>
          <c:h val="0.9004987526731611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Лист1!$B$24</c:f>
              <c:strCache>
                <c:ptCount val="1"/>
                <c:pt idx="0">
                  <c:v>у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Лист1!$A$25:$A$34</c:f>
              <c:numCache>
                <c:formatCode>General</c:formatCode>
                <c:ptCount val="10"/>
                <c:pt idx="0">
                  <c:v>0.2</c:v>
                </c:pt>
                <c:pt idx="1">
                  <c:v>1.1000000000000001</c:v>
                </c:pt>
                <c:pt idx="2">
                  <c:v>1.8</c:v>
                </c:pt>
                <c:pt idx="3">
                  <c:v>2.6</c:v>
                </c:pt>
                <c:pt idx="4">
                  <c:v>3</c:v>
                </c:pt>
                <c:pt idx="5">
                  <c:v>3.4</c:v>
                </c:pt>
                <c:pt idx="6">
                  <c:v>3.6</c:v>
                </c:pt>
                <c:pt idx="7">
                  <c:v>3.7</c:v>
                </c:pt>
                <c:pt idx="8">
                  <c:v>3.8</c:v>
                </c:pt>
                <c:pt idx="9">
                  <c:v>3.9</c:v>
                </c:pt>
              </c:numCache>
            </c:numRef>
          </c:xVal>
          <c:yVal>
            <c:numRef>
              <c:f>Лист1!$B$25:$B$34</c:f>
              <c:numCache>
                <c:formatCode>General</c:formatCode>
                <c:ptCount val="10"/>
                <c:pt idx="0">
                  <c:v>-0.41</c:v>
                </c:pt>
                <c:pt idx="1">
                  <c:v>-0.48</c:v>
                </c:pt>
                <c:pt idx="2">
                  <c:v>-0.76</c:v>
                </c:pt>
                <c:pt idx="3">
                  <c:v>-1.03</c:v>
                </c:pt>
                <c:pt idx="4">
                  <c:v>-1.62</c:v>
                </c:pt>
                <c:pt idx="5">
                  <c:v>-2.4700000000000002</c:v>
                </c:pt>
                <c:pt idx="6">
                  <c:v>-3.83</c:v>
                </c:pt>
                <c:pt idx="7">
                  <c:v>-7.34</c:v>
                </c:pt>
                <c:pt idx="8">
                  <c:v>-10.130000000000001</c:v>
                </c:pt>
                <c:pt idx="9">
                  <c:v>-14.81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C6-4C9A-9930-DE7409AD5927}"/>
            </c:ext>
          </c:extLst>
        </c:ser>
        <c:ser>
          <c:idx val="1"/>
          <c:order val="1"/>
          <c:tx>
            <c:v>степ модель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Лист1!$A$25:$A$34</c:f>
              <c:numCache>
                <c:formatCode>General</c:formatCode>
                <c:ptCount val="10"/>
                <c:pt idx="0">
                  <c:v>0.2</c:v>
                </c:pt>
                <c:pt idx="1">
                  <c:v>1.1000000000000001</c:v>
                </c:pt>
                <c:pt idx="2">
                  <c:v>1.8</c:v>
                </c:pt>
                <c:pt idx="3">
                  <c:v>2.6</c:v>
                </c:pt>
                <c:pt idx="4">
                  <c:v>3</c:v>
                </c:pt>
                <c:pt idx="5">
                  <c:v>3.4</c:v>
                </c:pt>
                <c:pt idx="6">
                  <c:v>3.6</c:v>
                </c:pt>
                <c:pt idx="7">
                  <c:v>3.7</c:v>
                </c:pt>
                <c:pt idx="8">
                  <c:v>3.8</c:v>
                </c:pt>
                <c:pt idx="9">
                  <c:v>3.9</c:v>
                </c:pt>
              </c:numCache>
            </c:numRef>
          </c:xVal>
          <c:yVal>
            <c:numRef>
              <c:f>Лист1!$H$25:$H$34</c:f>
              <c:numCache>
                <c:formatCode>0.000</c:formatCode>
                <c:ptCount val="10"/>
                <c:pt idx="0" formatCode="0.00">
                  <c:v>4.502673649943004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C6-4C9A-9930-DE7409AD5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505903"/>
        <c:axId val="1440510479"/>
      </c:scatterChart>
      <c:valAx>
        <c:axId val="1440505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0510479"/>
        <c:crosses val="autoZero"/>
        <c:crossBetween val="midCat"/>
      </c:valAx>
      <c:valAx>
        <c:axId val="144051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0505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chart" Target="../charts/chart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15336</xdr:colOff>
      <xdr:row>0</xdr:row>
      <xdr:rowOff>0</xdr:rowOff>
    </xdr:from>
    <xdr:to>
      <xdr:col>14</xdr:col>
      <xdr:colOff>326780</xdr:colOff>
      <xdr:row>15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58022</xdr:colOff>
      <xdr:row>15</xdr:row>
      <xdr:rowOff>161581</xdr:rowOff>
    </xdr:from>
    <xdr:to>
      <xdr:col>5</xdr:col>
      <xdr:colOff>4791</xdr:colOff>
      <xdr:row>18</xdr:row>
      <xdr:rowOff>51152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9877" y="2915798"/>
          <a:ext cx="1764553" cy="440414"/>
        </a:xfrm>
        <a:prstGeom prst="rect">
          <a:avLst/>
        </a:prstGeom>
      </xdr:spPr>
    </xdr:pic>
    <xdr:clientData/>
  </xdr:twoCellAnchor>
  <xdr:twoCellAnchor>
    <xdr:from>
      <xdr:col>11</xdr:col>
      <xdr:colOff>470239</xdr:colOff>
      <xdr:row>18</xdr:row>
      <xdr:rowOff>110598</xdr:rowOff>
    </xdr:from>
    <xdr:to>
      <xdr:col>19</xdr:col>
      <xdr:colOff>164656</xdr:colOff>
      <xdr:row>33</xdr:row>
      <xdr:rowOff>77941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4098</xdr:colOff>
      <xdr:row>18</xdr:row>
      <xdr:rowOff>99021</xdr:rowOff>
    </xdr:from>
    <xdr:to>
      <xdr:col>2</xdr:col>
      <xdr:colOff>413900</xdr:colOff>
      <xdr:row>20</xdr:row>
      <xdr:rowOff>109960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98" y="3404081"/>
          <a:ext cx="1621657" cy="378168"/>
        </a:xfrm>
        <a:prstGeom prst="rect">
          <a:avLst/>
        </a:prstGeom>
      </xdr:spPr>
    </xdr:pic>
    <xdr:clientData/>
  </xdr:twoCellAnchor>
  <xdr:twoCellAnchor editAs="oneCell">
    <xdr:from>
      <xdr:col>11</xdr:col>
      <xdr:colOff>201973</xdr:colOff>
      <xdr:row>18</xdr:row>
      <xdr:rowOff>96088</xdr:rowOff>
    </xdr:from>
    <xdr:to>
      <xdr:col>14</xdr:col>
      <xdr:colOff>145071</xdr:colOff>
      <xdr:row>20</xdr:row>
      <xdr:rowOff>164953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6111" y="3406847"/>
          <a:ext cx="1782408" cy="436727"/>
        </a:xfrm>
        <a:prstGeom prst="rect">
          <a:avLst/>
        </a:prstGeom>
      </xdr:spPr>
    </xdr:pic>
    <xdr:clientData/>
  </xdr:twoCellAnchor>
  <xdr:twoCellAnchor>
    <xdr:from>
      <xdr:col>9</xdr:col>
      <xdr:colOff>18650</xdr:colOff>
      <xdr:row>48</xdr:row>
      <xdr:rowOff>18088</xdr:rowOff>
    </xdr:from>
    <xdr:to>
      <xdr:col>16</xdr:col>
      <xdr:colOff>323450</xdr:colOff>
      <xdr:row>63</xdr:row>
      <xdr:rowOff>70517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35859</xdr:colOff>
      <xdr:row>38</xdr:row>
      <xdr:rowOff>17931</xdr:rowOff>
    </xdr:from>
    <xdr:to>
      <xdr:col>5</xdr:col>
      <xdr:colOff>198062</xdr:colOff>
      <xdr:row>40</xdr:row>
      <xdr:rowOff>173764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5059" y="6831107"/>
          <a:ext cx="1991003" cy="514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zoomScale="86" workbookViewId="0">
      <selection activeCell="J32" sqref="J32"/>
    </sheetView>
  </sheetViews>
  <sheetFormatPr defaultRowHeight="14.4"/>
  <cols>
    <col min="1" max="16384" width="8.88671875" style="2"/>
  </cols>
  <sheetData>
    <row r="1" spans="1:6">
      <c r="A1" s="1" t="s">
        <v>0</v>
      </c>
      <c r="B1" s="1" t="s">
        <v>1</v>
      </c>
      <c r="C1" s="1" t="s">
        <v>3</v>
      </c>
      <c r="D1" s="1" t="s">
        <v>4</v>
      </c>
      <c r="E1" s="1" t="s">
        <v>3</v>
      </c>
      <c r="F1" s="1" t="s">
        <v>4</v>
      </c>
    </row>
    <row r="2" spans="1:6">
      <c r="A2" s="2">
        <v>0.2</v>
      </c>
      <c r="B2" s="2">
        <v>-0.41</v>
      </c>
      <c r="C2" s="3">
        <f>LN(A2)</f>
        <v>-1.6094379124341003</v>
      </c>
      <c r="D2" s="3">
        <f>B2</f>
        <v>-0.41</v>
      </c>
      <c r="E2" s="4">
        <f>LN(A2)</f>
        <v>-1.6094379124341003</v>
      </c>
      <c r="F2" s="5">
        <f>B2</f>
        <v>-0.41</v>
      </c>
    </row>
    <row r="3" spans="1:6">
      <c r="A3" s="2">
        <v>1.1000000000000001</v>
      </c>
      <c r="B3" s="2">
        <v>-0.48</v>
      </c>
      <c r="C3" s="3">
        <f t="shared" ref="C3:C11" si="0">LN(A3)</f>
        <v>9.5310179804324935E-2</v>
      </c>
      <c r="D3" s="3">
        <f t="shared" ref="D3:D11" si="1">B3</f>
        <v>-0.48</v>
      </c>
      <c r="E3" s="4">
        <f t="shared" ref="E3:E11" si="2">LN(A3)</f>
        <v>9.5310179804324935E-2</v>
      </c>
      <c r="F3" s="5">
        <f t="shared" ref="F3:F11" si="3">B3</f>
        <v>-0.48</v>
      </c>
    </row>
    <row r="4" spans="1:6">
      <c r="A4" s="2">
        <v>1.8</v>
      </c>
      <c r="B4" s="2">
        <v>-0.76</v>
      </c>
      <c r="C4" s="3">
        <f t="shared" si="0"/>
        <v>0.58778666490211906</v>
      </c>
      <c r="D4" s="3">
        <f t="shared" si="1"/>
        <v>-0.76</v>
      </c>
      <c r="E4" s="4">
        <f t="shared" si="2"/>
        <v>0.58778666490211906</v>
      </c>
      <c r="F4" s="5">
        <f t="shared" si="3"/>
        <v>-0.76</v>
      </c>
    </row>
    <row r="5" spans="1:6">
      <c r="A5" s="2">
        <v>2.6</v>
      </c>
      <c r="B5" s="2">
        <v>-1.03</v>
      </c>
      <c r="C5" s="3">
        <f t="shared" si="0"/>
        <v>0.95551144502743635</v>
      </c>
      <c r="D5" s="3">
        <f t="shared" si="1"/>
        <v>-1.03</v>
      </c>
      <c r="E5" s="4">
        <f t="shared" si="2"/>
        <v>0.95551144502743635</v>
      </c>
      <c r="F5" s="5">
        <f t="shared" si="3"/>
        <v>-1.03</v>
      </c>
    </row>
    <row r="6" spans="1:6">
      <c r="A6" s="2">
        <v>3</v>
      </c>
      <c r="B6" s="2">
        <v>-1.62</v>
      </c>
      <c r="C6" s="3">
        <f t="shared" si="0"/>
        <v>1.0986122886681098</v>
      </c>
      <c r="D6" s="3">
        <f t="shared" si="1"/>
        <v>-1.62</v>
      </c>
      <c r="E6" s="4">
        <f t="shared" si="2"/>
        <v>1.0986122886681098</v>
      </c>
      <c r="F6" s="5">
        <f t="shared" si="3"/>
        <v>-1.62</v>
      </c>
    </row>
    <row r="7" spans="1:6">
      <c r="A7" s="2">
        <v>3.4</v>
      </c>
      <c r="B7" s="2">
        <v>-2.4700000000000002</v>
      </c>
      <c r="C7" s="3">
        <f t="shared" si="0"/>
        <v>1.2237754316221157</v>
      </c>
      <c r="D7" s="3">
        <f t="shared" si="1"/>
        <v>-2.4700000000000002</v>
      </c>
      <c r="E7" s="4">
        <f t="shared" si="2"/>
        <v>1.2237754316221157</v>
      </c>
      <c r="F7" s="5">
        <f t="shared" si="3"/>
        <v>-2.4700000000000002</v>
      </c>
    </row>
    <row r="8" spans="1:6">
      <c r="A8" s="2">
        <v>3.6</v>
      </c>
      <c r="B8" s="2">
        <v>-3.83</v>
      </c>
      <c r="C8" s="3">
        <f t="shared" si="0"/>
        <v>1.2809338454620642</v>
      </c>
      <c r="D8" s="3">
        <f t="shared" si="1"/>
        <v>-3.83</v>
      </c>
      <c r="E8" s="4">
        <f t="shared" si="2"/>
        <v>1.2809338454620642</v>
      </c>
      <c r="F8" s="5">
        <f t="shared" si="3"/>
        <v>-3.83</v>
      </c>
    </row>
    <row r="9" spans="1:6">
      <c r="A9" s="2">
        <v>3.7</v>
      </c>
      <c r="B9" s="2">
        <v>-7.34</v>
      </c>
      <c r="C9" s="3">
        <f t="shared" si="0"/>
        <v>1.3083328196501789</v>
      </c>
      <c r="D9" s="3">
        <f t="shared" si="1"/>
        <v>-7.34</v>
      </c>
      <c r="E9" s="4">
        <f t="shared" si="2"/>
        <v>1.3083328196501789</v>
      </c>
      <c r="F9" s="5">
        <f t="shared" si="3"/>
        <v>-7.34</v>
      </c>
    </row>
    <row r="10" spans="1:6">
      <c r="A10" s="2">
        <v>3.8</v>
      </c>
      <c r="B10" s="2">
        <v>-10.130000000000001</v>
      </c>
      <c r="C10" s="3">
        <f t="shared" si="0"/>
        <v>1.33500106673234</v>
      </c>
      <c r="D10" s="3">
        <f t="shared" si="1"/>
        <v>-10.130000000000001</v>
      </c>
      <c r="E10" s="4">
        <f t="shared" si="2"/>
        <v>1.33500106673234</v>
      </c>
      <c r="F10" s="5">
        <f t="shared" si="3"/>
        <v>-10.130000000000001</v>
      </c>
    </row>
    <row r="11" spans="1:6">
      <c r="A11" s="2">
        <v>3.9</v>
      </c>
      <c r="B11" s="2">
        <v>-14.81</v>
      </c>
      <c r="C11" s="3">
        <f t="shared" si="0"/>
        <v>1.3609765531356006</v>
      </c>
      <c r="D11" s="3">
        <f t="shared" si="1"/>
        <v>-14.81</v>
      </c>
      <c r="E11" s="4">
        <f t="shared" si="2"/>
        <v>1.3609765531356006</v>
      </c>
      <c r="F11" s="5">
        <f t="shared" si="3"/>
        <v>-14.81</v>
      </c>
    </row>
    <row r="17" spans="1:9">
      <c r="A17" s="2" t="s">
        <v>2</v>
      </c>
    </row>
    <row r="24" spans="1:9">
      <c r="A24" s="2" t="s">
        <v>0</v>
      </c>
      <c r="B24" s="2" t="s">
        <v>1</v>
      </c>
      <c r="C24" s="2" t="s">
        <v>3</v>
      </c>
      <c r="D24" s="2" t="s">
        <v>4</v>
      </c>
      <c r="E24" s="2" t="s">
        <v>5</v>
      </c>
      <c r="F24" s="2" t="s">
        <v>6</v>
      </c>
    </row>
    <row r="25" spans="1:9">
      <c r="A25" s="6">
        <f>A2</f>
        <v>0.2</v>
      </c>
      <c r="B25" s="6">
        <f>B2</f>
        <v>-0.41</v>
      </c>
      <c r="C25" s="7">
        <f>C2</f>
        <v>-1.6094379124341003</v>
      </c>
      <c r="D25" s="7">
        <f>D2</f>
        <v>-0.41</v>
      </c>
      <c r="E25" s="7">
        <f>C25^2</f>
        <v>2.5902903939802346</v>
      </c>
      <c r="F25" s="7">
        <f>C25*D25</f>
        <v>0.65986954409798104</v>
      </c>
      <c r="H25" s="5">
        <f>$B$42 + $B$40 * LN(A25)</f>
        <v>4.502673649943004</v>
      </c>
      <c r="I25" s="4">
        <f>(B25-H25)^2</f>
        <v>24.13436239084432</v>
      </c>
    </row>
    <row r="26" spans="1:9">
      <c r="A26" s="6">
        <f t="shared" ref="A26:A34" si="4">A3</f>
        <v>1.1000000000000001</v>
      </c>
      <c r="B26" s="6">
        <f t="shared" ref="B26:B34" si="5">B3</f>
        <v>-0.48</v>
      </c>
      <c r="C26" s="7">
        <f t="shared" ref="C26:D34" si="6">C3</f>
        <v>9.5310179804324935E-2</v>
      </c>
      <c r="D26" s="7">
        <f t="shared" si="6"/>
        <v>-0.48</v>
      </c>
      <c r="E26" s="7">
        <f t="shared" ref="E26:E34" si="7">C26^2</f>
        <v>9.0840303743327487E-3</v>
      </c>
      <c r="F26" s="7">
        <f t="shared" ref="F26:F34" si="8">C26*D26</f>
        <v>-4.5748886306075966E-2</v>
      </c>
      <c r="H26" s="4"/>
      <c r="I26" s="4"/>
    </row>
    <row r="27" spans="1:9">
      <c r="A27" s="6">
        <f t="shared" si="4"/>
        <v>1.8</v>
      </c>
      <c r="B27" s="6">
        <f t="shared" si="5"/>
        <v>-0.76</v>
      </c>
      <c r="C27" s="7">
        <f t="shared" si="6"/>
        <v>0.58778666490211906</v>
      </c>
      <c r="D27" s="7">
        <f t="shared" si="6"/>
        <v>-0.76</v>
      </c>
      <c r="E27" s="7">
        <f t="shared" si="7"/>
        <v>0.34549316343675601</v>
      </c>
      <c r="F27" s="7">
        <f t="shared" si="8"/>
        <v>-0.44671786532561047</v>
      </c>
      <c r="H27" s="4"/>
      <c r="I27" s="4"/>
    </row>
    <row r="28" spans="1:9">
      <c r="A28" s="6">
        <f t="shared" si="4"/>
        <v>2.6</v>
      </c>
      <c r="B28" s="6">
        <f t="shared" si="5"/>
        <v>-1.03</v>
      </c>
      <c r="C28" s="7">
        <f t="shared" si="6"/>
        <v>0.95551144502743635</v>
      </c>
      <c r="D28" s="7">
        <f t="shared" si="6"/>
        <v>-1.03</v>
      </c>
      <c r="E28" s="7">
        <f t="shared" si="7"/>
        <v>0.91300212157841953</v>
      </c>
      <c r="F28" s="7">
        <f t="shared" si="8"/>
        <v>-0.9841767883782595</v>
      </c>
      <c r="H28" s="4"/>
      <c r="I28" s="4"/>
    </row>
    <row r="29" spans="1:9">
      <c r="A29" s="6">
        <f t="shared" si="4"/>
        <v>3</v>
      </c>
      <c r="B29" s="6">
        <f t="shared" si="5"/>
        <v>-1.62</v>
      </c>
      <c r="C29" s="7">
        <f t="shared" si="6"/>
        <v>1.0986122886681098</v>
      </c>
      <c r="D29" s="7">
        <f t="shared" si="6"/>
        <v>-1.62</v>
      </c>
      <c r="E29" s="7">
        <f t="shared" si="7"/>
        <v>1.2069489608125821</v>
      </c>
      <c r="F29" s="7">
        <f t="shared" si="8"/>
        <v>-1.779751907642338</v>
      </c>
      <c r="H29" s="4"/>
      <c r="I29" s="4"/>
    </row>
    <row r="30" spans="1:9">
      <c r="A30" s="6">
        <f t="shared" si="4"/>
        <v>3.4</v>
      </c>
      <c r="B30" s="6">
        <f t="shared" si="5"/>
        <v>-2.4700000000000002</v>
      </c>
      <c r="C30" s="7">
        <f t="shared" si="6"/>
        <v>1.2237754316221157</v>
      </c>
      <c r="D30" s="7">
        <f t="shared" si="6"/>
        <v>-2.4700000000000002</v>
      </c>
      <c r="E30" s="7">
        <f t="shared" si="7"/>
        <v>1.4976263070418956</v>
      </c>
      <c r="F30" s="7">
        <f t="shared" si="8"/>
        <v>-3.0227253161066261</v>
      </c>
      <c r="H30" s="4"/>
      <c r="I30" s="4"/>
    </row>
    <row r="31" spans="1:9">
      <c r="A31" s="6">
        <f t="shared" si="4"/>
        <v>3.6</v>
      </c>
      <c r="B31" s="6">
        <f t="shared" si="5"/>
        <v>-3.83</v>
      </c>
      <c r="C31" s="7">
        <f t="shared" si="6"/>
        <v>1.2809338454620642</v>
      </c>
      <c r="D31" s="7">
        <f t="shared" si="6"/>
        <v>-3.83</v>
      </c>
      <c r="E31" s="7">
        <f t="shared" si="7"/>
        <v>1.6407915164502314</v>
      </c>
      <c r="F31" s="7">
        <f t="shared" si="8"/>
        <v>-4.9059766281197064</v>
      </c>
      <c r="H31" s="4"/>
      <c r="I31" s="4"/>
    </row>
    <row r="32" spans="1:9">
      <c r="A32" s="6">
        <f t="shared" si="4"/>
        <v>3.7</v>
      </c>
      <c r="B32" s="6">
        <f t="shared" si="5"/>
        <v>-7.34</v>
      </c>
      <c r="C32" s="7">
        <f t="shared" si="6"/>
        <v>1.3083328196501789</v>
      </c>
      <c r="D32" s="7">
        <f t="shared" si="6"/>
        <v>-7.34</v>
      </c>
      <c r="E32" s="7">
        <f t="shared" si="7"/>
        <v>1.7117347669737875</v>
      </c>
      <c r="F32" s="7">
        <f t="shared" si="8"/>
        <v>-9.6031628962323126</v>
      </c>
      <c r="H32" s="4"/>
      <c r="I32" s="4"/>
    </row>
    <row r="33" spans="1:14">
      <c r="A33" s="6">
        <f t="shared" si="4"/>
        <v>3.8</v>
      </c>
      <c r="B33" s="6">
        <f t="shared" si="5"/>
        <v>-10.130000000000001</v>
      </c>
      <c r="C33" s="7">
        <f t="shared" si="6"/>
        <v>1.33500106673234</v>
      </c>
      <c r="D33" s="7">
        <f t="shared" si="6"/>
        <v>-10.130000000000001</v>
      </c>
      <c r="E33" s="7">
        <f t="shared" si="7"/>
        <v>1.7822278481764857</v>
      </c>
      <c r="F33" s="7">
        <f t="shared" si="8"/>
        <v>-13.523560805998605</v>
      </c>
      <c r="H33" s="4"/>
      <c r="I33" s="4"/>
    </row>
    <row r="34" spans="1:14">
      <c r="A34" s="6">
        <f t="shared" si="4"/>
        <v>3.9</v>
      </c>
      <c r="B34" s="6">
        <f t="shared" si="5"/>
        <v>-14.81</v>
      </c>
      <c r="C34" s="7">
        <f t="shared" si="6"/>
        <v>1.3609765531356006</v>
      </c>
      <c r="D34" s="7">
        <f t="shared" si="6"/>
        <v>-14.81</v>
      </c>
      <c r="E34" s="7">
        <f t="shared" si="7"/>
        <v>1.8522571781848602</v>
      </c>
      <c r="F34" s="7">
        <f t="shared" si="8"/>
        <v>-20.156062751938247</v>
      </c>
      <c r="H34" s="4"/>
      <c r="I34" s="9" t="s">
        <v>16</v>
      </c>
    </row>
    <row r="35" spans="1:14">
      <c r="A35" s="4">
        <f>SUM(A25:A34)</f>
        <v>27.099999999999998</v>
      </c>
      <c r="B35" s="6">
        <f>SUM(B1:B11)</f>
        <v>-42.88</v>
      </c>
      <c r="C35" s="4">
        <f>SUM(C25:C34)</f>
        <v>7.6368023825701892</v>
      </c>
      <c r="D35" s="4">
        <f>SUM(D25:D34)</f>
        <v>-42.88</v>
      </c>
      <c r="E35" s="4">
        <f>SUM(E25:E34)</f>
        <v>13.549456287009585</v>
      </c>
      <c r="F35" s="4">
        <f>SUM(F25:F34)</f>
        <v>-53.808014301949797</v>
      </c>
      <c r="I35" s="2">
        <f>SQRT(SUM(I25:I34)/10)</f>
        <v>1.5535238134912617</v>
      </c>
      <c r="J35" s="4"/>
    </row>
    <row r="36" spans="1:14">
      <c r="A36" s="4" t="s">
        <v>7</v>
      </c>
      <c r="B36" s="2">
        <v>10</v>
      </c>
    </row>
    <row r="37" spans="1:14">
      <c r="A37" s="4"/>
    </row>
    <row r="38" spans="1:14">
      <c r="A38" s="4"/>
    </row>
    <row r="39" spans="1:14">
      <c r="A39" s="4"/>
    </row>
    <row r="40" spans="1:14">
      <c r="A40" s="2" t="s">
        <v>8</v>
      </c>
      <c r="B40" s="4">
        <f>(C35*D35-10*F35)/(C35^2-10*E35)</f>
        <v>-2.7290871183195993</v>
      </c>
    </row>
    <row r="41" spans="1:14">
      <c r="A41" s="2" t="s">
        <v>10</v>
      </c>
      <c r="B41" s="4">
        <f>(D35-B40*C35)/10</f>
        <v>-2.2038500992575276</v>
      </c>
    </row>
    <row r="42" spans="1:14">
      <c r="A42" s="2" t="s">
        <v>9</v>
      </c>
      <c r="B42" s="2">
        <f>EXP(B41)</f>
        <v>0.11037737538391355</v>
      </c>
    </row>
    <row r="43" spans="1:14">
      <c r="C43" s="2" t="s">
        <v>11</v>
      </c>
      <c r="D43" s="2" t="s">
        <v>12</v>
      </c>
      <c r="E43" s="2" t="s">
        <v>13</v>
      </c>
      <c r="F43" s="2" t="s">
        <v>14</v>
      </c>
      <c r="G43" s="2" t="s">
        <v>15</v>
      </c>
      <c r="J43" s="2">
        <f>B36</f>
        <v>10</v>
      </c>
      <c r="K43" s="4">
        <f>A35</f>
        <v>27.099999999999998</v>
      </c>
      <c r="L43" s="5">
        <f>C54</f>
        <v>88.109999999999985</v>
      </c>
      <c r="N43" s="4">
        <f>D35</f>
        <v>-42.88</v>
      </c>
    </row>
    <row r="44" spans="1:14">
      <c r="C44" s="5">
        <f>A25^2</f>
        <v>4.0000000000000008E-2</v>
      </c>
      <c r="D44" s="5">
        <f>A25^3</f>
        <v>8.0000000000000019E-3</v>
      </c>
      <c r="E44" s="5">
        <f>A25^4</f>
        <v>1.6000000000000007E-3</v>
      </c>
      <c r="F44" s="5">
        <f>A25*B25</f>
        <v>-8.2000000000000003E-2</v>
      </c>
      <c r="G44" s="5">
        <f>C44*B25</f>
        <v>-1.6400000000000001E-2</v>
      </c>
      <c r="J44" s="4">
        <f>A35</f>
        <v>27.099999999999998</v>
      </c>
      <c r="K44" s="5">
        <f>C54</f>
        <v>88.109999999999985</v>
      </c>
      <c r="L44" s="5">
        <f>D54</f>
        <v>302.55099999999999</v>
      </c>
      <c r="N44" s="5">
        <f>F54</f>
        <v>-155.113</v>
      </c>
    </row>
    <row r="45" spans="1:14">
      <c r="C45" s="5">
        <f t="shared" ref="C45:C53" si="9">A26^2</f>
        <v>1.2100000000000002</v>
      </c>
      <c r="D45" s="5">
        <f t="shared" ref="D45:D53" si="10">A26^3</f>
        <v>1.3310000000000004</v>
      </c>
      <c r="E45" s="5">
        <f t="shared" ref="E45:E53" si="11">A26^4</f>
        <v>1.4641000000000004</v>
      </c>
      <c r="F45" s="5">
        <f t="shared" ref="F45:F53" si="12">A26*B26</f>
        <v>-0.52800000000000002</v>
      </c>
      <c r="G45" s="5">
        <f t="shared" ref="G45:G53" si="13">C45*B26</f>
        <v>-0.58080000000000009</v>
      </c>
      <c r="J45" s="5">
        <f>C54</f>
        <v>88.109999999999985</v>
      </c>
      <c r="K45" s="5">
        <f>D54</f>
        <v>302.55099999999999</v>
      </c>
      <c r="L45" s="5">
        <f>E54</f>
        <v>1067.5299</v>
      </c>
      <c r="N45" s="5">
        <f>G54</f>
        <v>-574.8143</v>
      </c>
    </row>
    <row r="46" spans="1:14">
      <c r="C46" s="5">
        <f t="shared" si="9"/>
        <v>3.24</v>
      </c>
      <c r="D46" s="5">
        <f t="shared" si="10"/>
        <v>5.8320000000000007</v>
      </c>
      <c r="E46" s="5">
        <f t="shared" si="11"/>
        <v>10.497600000000002</v>
      </c>
      <c r="F46" s="5">
        <f t="shared" si="12"/>
        <v>-1.3680000000000001</v>
      </c>
      <c r="G46" s="5">
        <f t="shared" si="13"/>
        <v>-2.4624000000000001</v>
      </c>
    </row>
    <row r="47" spans="1:14">
      <c r="C47" s="5">
        <f t="shared" si="9"/>
        <v>6.7600000000000007</v>
      </c>
      <c r="D47" s="5">
        <f t="shared" si="10"/>
        <v>17.576000000000004</v>
      </c>
      <c r="E47" s="5">
        <f t="shared" si="11"/>
        <v>45.697600000000008</v>
      </c>
      <c r="F47" s="5">
        <f t="shared" si="12"/>
        <v>-2.6780000000000004</v>
      </c>
      <c r="G47" s="5">
        <f t="shared" si="13"/>
        <v>-6.9628000000000005</v>
      </c>
    </row>
    <row r="48" spans="1:14">
      <c r="C48" s="5">
        <f t="shared" si="9"/>
        <v>9</v>
      </c>
      <c r="D48" s="5">
        <f t="shared" si="10"/>
        <v>27</v>
      </c>
      <c r="E48" s="5">
        <f t="shared" si="11"/>
        <v>81</v>
      </c>
      <c r="F48" s="5">
        <f t="shared" si="12"/>
        <v>-4.8600000000000003</v>
      </c>
      <c r="G48" s="5">
        <f t="shared" si="13"/>
        <v>-14.580000000000002</v>
      </c>
    </row>
    <row r="49" spans="3:7">
      <c r="C49" s="5">
        <f t="shared" si="9"/>
        <v>11.559999999999999</v>
      </c>
      <c r="D49" s="5">
        <f t="shared" si="10"/>
        <v>39.303999999999995</v>
      </c>
      <c r="E49" s="5">
        <f t="shared" si="11"/>
        <v>133.63359999999997</v>
      </c>
      <c r="F49" s="5">
        <f t="shared" si="12"/>
        <v>-8.3979999999999997</v>
      </c>
      <c r="G49" s="5">
        <f t="shared" si="13"/>
        <v>-28.5532</v>
      </c>
    </row>
    <row r="50" spans="3:7">
      <c r="C50" s="5">
        <f t="shared" si="9"/>
        <v>12.96</v>
      </c>
      <c r="D50" s="5">
        <f t="shared" si="10"/>
        <v>46.656000000000006</v>
      </c>
      <c r="E50" s="5">
        <f t="shared" si="11"/>
        <v>167.96160000000003</v>
      </c>
      <c r="F50" s="5">
        <f t="shared" si="12"/>
        <v>-13.788</v>
      </c>
      <c r="G50" s="5">
        <f t="shared" si="13"/>
        <v>-49.636800000000001</v>
      </c>
    </row>
    <row r="51" spans="3:7">
      <c r="C51" s="5">
        <f t="shared" si="9"/>
        <v>13.690000000000001</v>
      </c>
      <c r="D51" s="5">
        <f t="shared" si="10"/>
        <v>50.653000000000006</v>
      </c>
      <c r="E51" s="5">
        <f t="shared" si="11"/>
        <v>187.41610000000003</v>
      </c>
      <c r="F51" s="5">
        <f t="shared" si="12"/>
        <v>-27.158000000000001</v>
      </c>
      <c r="G51" s="5">
        <f t="shared" si="13"/>
        <v>-100.4846</v>
      </c>
    </row>
    <row r="52" spans="3:7">
      <c r="C52" s="5">
        <f t="shared" si="9"/>
        <v>14.44</v>
      </c>
      <c r="D52" s="5">
        <f t="shared" si="10"/>
        <v>54.871999999999993</v>
      </c>
      <c r="E52" s="5">
        <f t="shared" si="11"/>
        <v>208.5136</v>
      </c>
      <c r="F52" s="5">
        <f t="shared" si="12"/>
        <v>-38.494</v>
      </c>
      <c r="G52" s="5">
        <f t="shared" si="13"/>
        <v>-146.27719999999999</v>
      </c>
    </row>
    <row r="53" spans="3:7">
      <c r="C53" s="5">
        <f t="shared" si="9"/>
        <v>15.209999999999999</v>
      </c>
      <c r="D53" s="5">
        <f t="shared" si="10"/>
        <v>59.318999999999996</v>
      </c>
      <c r="E53" s="5">
        <f t="shared" si="11"/>
        <v>231.34409999999997</v>
      </c>
      <c r="F53" s="5">
        <f t="shared" si="12"/>
        <v>-57.759</v>
      </c>
      <c r="G53" s="5">
        <f t="shared" si="13"/>
        <v>-225.26009999999999</v>
      </c>
    </row>
    <row r="54" spans="3:7">
      <c r="C54" s="8">
        <f>SUM(C44:C53)</f>
        <v>88.109999999999985</v>
      </c>
      <c r="D54" s="8">
        <f>SUM(D44:D53)</f>
        <v>302.55099999999999</v>
      </c>
      <c r="E54" s="8">
        <f>SUM(E44:E53)</f>
        <v>1067.5299</v>
      </c>
      <c r="F54" s="8">
        <f>SUM(F44:F53)</f>
        <v>-155.113</v>
      </c>
      <c r="G54" s="8">
        <f>SUM(G44:G53)</f>
        <v>-574.8143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2026-05-30T11:15:06Z</dcterms:modified>
</cp:coreProperties>
</file>